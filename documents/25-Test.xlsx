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ursos\WEBs\LabAuto\medidor_vip\documents\"/>
    </mc:Choice>
  </mc:AlternateContent>
  <xr:revisionPtr revIDLastSave="0" documentId="13_ncr:1_{EBB55F62-3A44-4C76-ACF6-269B5B146E33}" xr6:coauthVersionLast="47" xr6:coauthVersionMax="47" xr10:uidLastSave="{00000000-0000-0000-0000-000000000000}"/>
  <bookViews>
    <workbookView xWindow="-108" yWindow="-108" windowWidth="23256" windowHeight="12576" activeTab="3" xr2:uid="{C3FEE5A6-C306-43D1-B06D-2B32A9EFD88D}"/>
  </bookViews>
  <sheets>
    <sheet name="Graf25" sheetId="3" r:id="rId1"/>
    <sheet name="25" sheetId="2" r:id="rId2"/>
    <sheet name="25C" sheetId="4" r:id="rId3"/>
    <sheet name="Hoja3" sheetId="5" r:id="rId4"/>
  </sheets>
  <definedNames>
    <definedName name="DatosExternos_1" localSheetId="1" hidden="1">'25'!$A$1:$I$88</definedName>
    <definedName name="DatosExternos_1" localSheetId="2" hidden="1">'25C'!$A$1:$I$88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4" l="1"/>
  <c r="K5" i="4"/>
  <c r="K6" i="4"/>
  <c r="K7" i="4"/>
  <c r="K8" i="4"/>
  <c r="K9" i="4"/>
  <c r="J91" i="4" s="1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3" i="4"/>
  <c r="J90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A89" i="4"/>
  <c r="F89" i="4"/>
  <c r="H88" i="4"/>
  <c r="F88" i="4"/>
  <c r="C88" i="4"/>
  <c r="H87" i="4"/>
  <c r="F87" i="4"/>
  <c r="C87" i="4"/>
  <c r="H86" i="4"/>
  <c r="F86" i="4"/>
  <c r="C86" i="4"/>
  <c r="H85" i="4"/>
  <c r="F85" i="4"/>
  <c r="C85" i="4"/>
  <c r="H84" i="4"/>
  <c r="F84" i="4"/>
  <c r="C84" i="4"/>
  <c r="H83" i="4"/>
  <c r="F83" i="4"/>
  <c r="C83" i="4"/>
  <c r="H82" i="4"/>
  <c r="F82" i="4"/>
  <c r="C82" i="4"/>
  <c r="H81" i="4"/>
  <c r="F81" i="4"/>
  <c r="C81" i="4"/>
  <c r="H80" i="4"/>
  <c r="F80" i="4"/>
  <c r="C80" i="4"/>
  <c r="H79" i="4"/>
  <c r="F79" i="4"/>
  <c r="C79" i="4"/>
  <c r="H78" i="4"/>
  <c r="F78" i="4"/>
  <c r="C78" i="4"/>
  <c r="H77" i="4"/>
  <c r="F77" i="4"/>
  <c r="C77" i="4"/>
  <c r="H76" i="4"/>
  <c r="F76" i="4"/>
  <c r="C76" i="4"/>
  <c r="H75" i="4"/>
  <c r="F75" i="4"/>
  <c r="C75" i="4"/>
  <c r="H74" i="4"/>
  <c r="F74" i="4"/>
  <c r="E74" i="4"/>
  <c r="C74" i="4"/>
  <c r="H73" i="4"/>
  <c r="F73" i="4"/>
  <c r="C73" i="4"/>
  <c r="H72" i="4"/>
  <c r="F72" i="4"/>
  <c r="C72" i="4"/>
  <c r="H71" i="4"/>
  <c r="F71" i="4"/>
  <c r="C71" i="4"/>
  <c r="H70" i="4"/>
  <c r="F70" i="4"/>
  <c r="C70" i="4"/>
  <c r="H69" i="4"/>
  <c r="F69" i="4"/>
  <c r="C69" i="4"/>
  <c r="H68" i="4"/>
  <c r="F68" i="4"/>
  <c r="C68" i="4"/>
  <c r="E67" i="4" s="1"/>
  <c r="H67" i="4"/>
  <c r="F67" i="4"/>
  <c r="C67" i="4"/>
  <c r="H66" i="4"/>
  <c r="F66" i="4"/>
  <c r="C66" i="4"/>
  <c r="H65" i="4"/>
  <c r="F65" i="4"/>
  <c r="C65" i="4"/>
  <c r="H64" i="4"/>
  <c r="F64" i="4"/>
  <c r="C64" i="4"/>
  <c r="H63" i="4"/>
  <c r="F63" i="4"/>
  <c r="C63" i="4"/>
  <c r="H62" i="4"/>
  <c r="F62" i="4"/>
  <c r="C62" i="4"/>
  <c r="H61" i="4"/>
  <c r="F61" i="4"/>
  <c r="C61" i="4"/>
  <c r="H60" i="4"/>
  <c r="F60" i="4"/>
  <c r="C60" i="4"/>
  <c r="H59" i="4"/>
  <c r="F59" i="4"/>
  <c r="C59" i="4"/>
  <c r="H58" i="4"/>
  <c r="F58" i="4"/>
  <c r="C58" i="4"/>
  <c r="H57" i="4"/>
  <c r="F57" i="4"/>
  <c r="C57" i="4"/>
  <c r="H56" i="4"/>
  <c r="F56" i="4"/>
  <c r="C56" i="4"/>
  <c r="H55" i="4"/>
  <c r="F55" i="4"/>
  <c r="C55" i="4"/>
  <c r="H54" i="4"/>
  <c r="F54" i="4"/>
  <c r="C54" i="4"/>
  <c r="H53" i="4"/>
  <c r="F53" i="4"/>
  <c r="C53" i="4"/>
  <c r="H52" i="4"/>
  <c r="F52" i="4"/>
  <c r="C52" i="4"/>
  <c r="H51" i="4"/>
  <c r="F51" i="4"/>
  <c r="C51" i="4"/>
  <c r="H50" i="4"/>
  <c r="F50" i="4"/>
  <c r="E50" i="4"/>
  <c r="C50" i="4"/>
  <c r="H49" i="4"/>
  <c r="F49" i="4"/>
  <c r="C49" i="4"/>
  <c r="H48" i="4"/>
  <c r="F48" i="4"/>
  <c r="C48" i="4"/>
  <c r="H47" i="4"/>
  <c r="F47" i="4"/>
  <c r="C47" i="4"/>
  <c r="H46" i="4"/>
  <c r="F46" i="4"/>
  <c r="C46" i="4"/>
  <c r="H45" i="4"/>
  <c r="F45" i="4"/>
  <c r="C45" i="4"/>
  <c r="H44" i="4"/>
  <c r="F44" i="4"/>
  <c r="C44" i="4"/>
  <c r="E43" i="4" s="1"/>
  <c r="H43" i="4"/>
  <c r="F43" i="4"/>
  <c r="C43" i="4"/>
  <c r="H42" i="4"/>
  <c r="F42" i="4"/>
  <c r="C42" i="4"/>
  <c r="H41" i="4"/>
  <c r="F41" i="4"/>
  <c r="C41" i="4"/>
  <c r="H40" i="4"/>
  <c r="F40" i="4"/>
  <c r="C40" i="4"/>
  <c r="H39" i="4"/>
  <c r="F39" i="4"/>
  <c r="C39" i="4"/>
  <c r="H38" i="4"/>
  <c r="F38" i="4"/>
  <c r="C38" i="4"/>
  <c r="H37" i="4"/>
  <c r="F37" i="4"/>
  <c r="C37" i="4"/>
  <c r="H36" i="4"/>
  <c r="F36" i="4"/>
  <c r="C36" i="4"/>
  <c r="H35" i="4"/>
  <c r="F35" i="4"/>
  <c r="C35" i="4"/>
  <c r="H34" i="4"/>
  <c r="F34" i="4"/>
  <c r="C34" i="4"/>
  <c r="H33" i="4"/>
  <c r="F33" i="4"/>
  <c r="C33" i="4"/>
  <c r="H32" i="4"/>
  <c r="F32" i="4"/>
  <c r="C32" i="4"/>
  <c r="H31" i="4"/>
  <c r="F31" i="4"/>
  <c r="C31" i="4"/>
  <c r="H30" i="4"/>
  <c r="F30" i="4"/>
  <c r="C30" i="4"/>
  <c r="H29" i="4"/>
  <c r="F29" i="4"/>
  <c r="C29" i="4"/>
  <c r="H28" i="4"/>
  <c r="F28" i="4"/>
  <c r="C28" i="4"/>
  <c r="H27" i="4"/>
  <c r="F27" i="4"/>
  <c r="C27" i="4"/>
  <c r="H26" i="4"/>
  <c r="F26" i="4"/>
  <c r="E26" i="4"/>
  <c r="C26" i="4"/>
  <c r="H25" i="4"/>
  <c r="F25" i="4"/>
  <c r="C25" i="4"/>
  <c r="H24" i="4"/>
  <c r="F24" i="4"/>
  <c r="C24" i="4"/>
  <c r="H23" i="4"/>
  <c r="F23" i="4"/>
  <c r="C23" i="4"/>
  <c r="H22" i="4"/>
  <c r="F22" i="4"/>
  <c r="C22" i="4"/>
  <c r="H21" i="4"/>
  <c r="F21" i="4"/>
  <c r="C21" i="4"/>
  <c r="H20" i="4"/>
  <c r="F20" i="4"/>
  <c r="C20" i="4"/>
  <c r="E19" i="4" s="1"/>
  <c r="H19" i="4"/>
  <c r="F19" i="4"/>
  <c r="C19" i="4"/>
  <c r="H18" i="4"/>
  <c r="F18" i="4"/>
  <c r="C18" i="4"/>
  <c r="H17" i="4"/>
  <c r="F17" i="4"/>
  <c r="C17" i="4"/>
  <c r="H16" i="4"/>
  <c r="F16" i="4"/>
  <c r="C16" i="4"/>
  <c r="H15" i="4"/>
  <c r="F15" i="4"/>
  <c r="C15" i="4"/>
  <c r="H14" i="4"/>
  <c r="F14" i="4"/>
  <c r="C14" i="4"/>
  <c r="H13" i="4"/>
  <c r="F13" i="4"/>
  <c r="C13" i="4"/>
  <c r="H12" i="4"/>
  <c r="F12" i="4"/>
  <c r="C12" i="4"/>
  <c r="H11" i="4"/>
  <c r="F11" i="4"/>
  <c r="C11" i="4"/>
  <c r="H10" i="4"/>
  <c r="F10" i="4"/>
  <c r="C10" i="4"/>
  <c r="H9" i="4"/>
  <c r="F9" i="4"/>
  <c r="C9" i="4"/>
  <c r="H8" i="4"/>
  <c r="F8" i="4"/>
  <c r="C8" i="4"/>
  <c r="H7" i="4"/>
  <c r="F7" i="4"/>
  <c r="C7" i="4"/>
  <c r="H6" i="4"/>
  <c r="F6" i="4"/>
  <c r="C6" i="4"/>
  <c r="H5" i="4"/>
  <c r="F5" i="4"/>
  <c r="C5" i="4"/>
  <c r="H4" i="4"/>
  <c r="F4" i="4"/>
  <c r="C4" i="4"/>
  <c r="H3" i="4"/>
  <c r="F3" i="4"/>
  <c r="C3" i="4"/>
  <c r="A3" i="4"/>
  <c r="H2" i="4"/>
  <c r="F2" i="4"/>
  <c r="C2" i="4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C88" i="2"/>
  <c r="C87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F2" i="2"/>
  <c r="F3" i="2"/>
  <c r="F4" i="2"/>
  <c r="F89" i="2" s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A4" i="4" l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E19" i="2"/>
  <c r="A86" i="2"/>
  <c r="A87" i="2" s="1"/>
  <c r="A88" i="2" s="1"/>
  <c r="A89" i="2"/>
  <c r="J89" i="2" s="1"/>
  <c r="E74" i="2"/>
  <c r="E50" i="2"/>
  <c r="E26" i="2"/>
  <c r="E67" i="2"/>
  <c r="E43" i="2"/>
  <c r="J89" i="4" l="1"/>
  <c r="A86" i="4"/>
  <c r="A87" i="4" s="1"/>
  <c r="A88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96DA63-33AE-4A3F-94C4-233E03597C99}" keepAlive="1" name="Consulta - 25" description="Conexión a la consulta '25' en el libro." type="5" refreshedVersion="8" background="1" saveData="1">
    <dbPr connection="Provider=Microsoft.Mashup.OleDb.1;Data Source=$Workbook$;Location=25;Extended Properties=&quot;&quot;" command="SELECT * FROM [25]"/>
  </connection>
  <connection id="2" xr16:uid="{05B56B04-8DE6-4326-A3B8-950AD560F258}" keepAlive="1" name="Consulta - 25 (2)" description="Conexión a la consulta '25 (2)' en el libro." type="5" refreshedVersion="8" background="1" saveData="1">
    <dbPr connection="Provider=Microsoft.Mashup.OleDb.1;Data Source=$Workbook$;Location=&quot;25 (2)&quot;;Extended Properties=&quot;&quot;" command="SELECT * FROM [25 (2)]"/>
  </connection>
</connections>
</file>

<file path=xl/sharedStrings.xml><?xml version="1.0" encoding="utf-8"?>
<sst xmlns="http://schemas.openxmlformats.org/spreadsheetml/2006/main" count="96" uniqueCount="27">
  <si>
    <t>Tiempo [s]</t>
  </si>
  <si>
    <t>Tension [V]</t>
  </si>
  <si>
    <t>Corriente [mA]</t>
  </si>
  <si>
    <t>Potencia [mW]</t>
  </si>
  <si>
    <t>Rele 1=activo 0=apagado</t>
  </si>
  <si>
    <t>Fin de medicion</t>
  </si>
  <si>
    <t>Tension [V]2</t>
  </si>
  <si>
    <t>Corriente [mA]2</t>
  </si>
  <si>
    <t>Potencia [mW]2</t>
  </si>
  <si>
    <r>
      <t>Ra [</t>
    </r>
    <r>
      <rPr>
        <sz val="11"/>
        <color theme="1"/>
        <rFont val="Calibri"/>
        <family val="2"/>
      </rPr>
      <t>Ω]</t>
    </r>
  </si>
  <si>
    <t>[mAh]</t>
  </si>
  <si>
    <t>Columna2</t>
  </si>
  <si>
    <r>
      <t>C</t>
    </r>
    <r>
      <rPr>
        <vertAlign val="subscript"/>
        <sz val="11"/>
        <color theme="1"/>
        <rFont val="Calibri"/>
        <family val="2"/>
        <scheme val="minor"/>
      </rPr>
      <t>mAh</t>
    </r>
  </si>
  <si>
    <t>Tiempo [s],Tension [V],Corriente [mA],Potencia [mW],Rele 1=activo 0=apagado</t>
  </si>
  <si>
    <t>0.0000</t>
  </si>
  <si>
    <t>0.000000</t>
  </si>
  <si>
    <t>0.9987</t>
  </si>
  <si>
    <t>0.9975</t>
  </si>
  <si>
    <t>0.9962</t>
  </si>
  <si>
    <t>FechaHora [RTC]</t>
  </si>
  <si>
    <t>0.9625</t>
  </si>
  <si>
    <t>0.9413</t>
  </si>
  <si>
    <t>0.9200</t>
  </si>
  <si>
    <t>0.9025</t>
  </si>
  <si>
    <t>0.8850</t>
  </si>
  <si>
    <t>0.8750</t>
  </si>
  <si>
    <t>0.8675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</si>
</sst>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 style="thin">
        <color theme="9" tint="0.39997558519241921"/>
      </right>
      <top style="double">
        <color theme="9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36">
    <xf numFmtId="0" fontId="0" fillId="0" borderId="0" xfId="0"/>
    <xf numFmtId="1" fontId="0" fillId="0" borderId="0" xfId="0" applyNumberFormat="1" applyAlignment="1">
      <alignment vertical="center"/>
    </xf>
    <xf numFmtId="0" fontId="0" fillId="3" borderId="0" xfId="0" applyFill="1" applyAlignment="1">
      <alignment vertical="center"/>
    </xf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2" borderId="0" xfId="0" applyNumberFormat="1" applyFill="1" applyAlignment="1">
      <alignment vertical="center"/>
    </xf>
    <xf numFmtId="0" fontId="0" fillId="2" borderId="0" xfId="0" applyFill="1" applyAlignment="1">
      <alignment vertical="center"/>
    </xf>
    <xf numFmtId="164" fontId="0" fillId="2" borderId="0" xfId="0" applyNumberFormat="1" applyFill="1" applyAlignment="1">
      <alignment vertical="center"/>
    </xf>
    <xf numFmtId="165" fontId="0" fillId="2" borderId="0" xfId="0" applyNumberFormat="1" applyFill="1" applyAlignment="1">
      <alignment vertical="center"/>
    </xf>
    <xf numFmtId="1" fontId="0" fillId="0" borderId="0" xfId="0" applyNumberForma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6" fontId="0" fillId="0" borderId="0" xfId="0" applyNumberFormat="1" applyAlignment="1">
      <alignment vertical="center"/>
    </xf>
    <xf numFmtId="166" fontId="1" fillId="4" borderId="0" xfId="0" applyNumberFormat="1" applyFont="1" applyFill="1" applyAlignment="1">
      <alignment vertical="center"/>
    </xf>
    <xf numFmtId="166" fontId="0" fillId="2" borderId="0" xfId="0" applyNumberFormat="1" applyFill="1" applyAlignment="1">
      <alignment vertical="center"/>
    </xf>
    <xf numFmtId="166" fontId="0" fillId="0" borderId="0" xfId="0" applyNumberFormat="1" applyFill="1" applyAlignment="1">
      <alignment vertical="center"/>
    </xf>
    <xf numFmtId="165" fontId="0" fillId="0" borderId="0" xfId="0" applyNumberFormat="1" applyFill="1" applyAlignment="1">
      <alignment vertical="center"/>
    </xf>
    <xf numFmtId="164" fontId="0" fillId="5" borderId="0" xfId="0" applyNumberFormat="1" applyFill="1" applyAlignment="1">
      <alignment vertical="center"/>
    </xf>
    <xf numFmtId="166" fontId="0" fillId="5" borderId="0" xfId="0" applyNumberFormat="1" applyFill="1" applyAlignment="1">
      <alignment vertical="center"/>
    </xf>
    <xf numFmtId="2" fontId="0" fillId="5" borderId="0" xfId="0" applyNumberFormat="1" applyFill="1" applyAlignment="1">
      <alignment vertical="center"/>
    </xf>
    <xf numFmtId="0" fontId="0" fillId="5" borderId="0" xfId="0" applyFill="1" applyAlignment="1">
      <alignment horizontal="center" vertical="center"/>
    </xf>
    <xf numFmtId="164" fontId="0" fillId="0" borderId="0" xfId="0" applyNumberFormat="1" applyFill="1" applyBorder="1" applyAlignment="1">
      <alignment vertical="center"/>
    </xf>
    <xf numFmtId="164" fontId="0" fillId="0" borderId="0" xfId="0" applyNumberFormat="1" applyBorder="1" applyAlignment="1">
      <alignment vertical="center"/>
    </xf>
    <xf numFmtId="2" fontId="1" fillId="6" borderId="0" xfId="0" applyNumberFormat="1" applyFont="1" applyFill="1" applyAlignment="1">
      <alignment vertical="center"/>
    </xf>
    <xf numFmtId="0" fontId="1" fillId="6" borderId="1" xfId="0" applyFont="1" applyFill="1" applyBorder="1" applyAlignment="1">
      <alignment horizontal="center" vertical="center"/>
    </xf>
    <xf numFmtId="0" fontId="0" fillId="6" borderId="0" xfId="0" applyFill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2" fontId="1" fillId="3" borderId="0" xfId="0" applyNumberFormat="1" applyFont="1" applyFill="1" applyAlignment="1">
      <alignment vertical="center"/>
    </xf>
    <xf numFmtId="22" fontId="0" fillId="0" borderId="0" xfId="0" applyNumberFormat="1"/>
    <xf numFmtId="3" fontId="0" fillId="0" borderId="0" xfId="0" applyNumberFormat="1"/>
    <xf numFmtId="0" fontId="5" fillId="0" borderId="0" xfId="0" applyFont="1"/>
    <xf numFmtId="22" fontId="5" fillId="0" borderId="0" xfId="0" applyNumberFormat="1" applyFont="1"/>
    <xf numFmtId="3" fontId="5" fillId="0" borderId="0" xfId="0" applyNumberFormat="1" applyFont="1"/>
  </cellXfs>
  <cellStyles count="1">
    <cellStyle name="Normal" xfId="0" builtinId="0"/>
  </cellStyles>
  <dxfs count="50">
    <dxf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5" formatCode="0.000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166" formatCode="0.00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4" formatCode="0.0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general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general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92D050"/>
        </patternFill>
      </fill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5" formatCode="0.00000"/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numFmt numFmtId="166" formatCode="0.0000"/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5" formatCode="0.000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166" formatCode="0.00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4" formatCode="0.0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general" vertical="center" textRotation="0" wrapText="0" indent="0" justifyLastLine="0" shrinkToFit="0" readingOrder="0"/>
    </dxf>
    <dxf>
      <numFmt numFmtId="166" formatCode="0.0000"/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5" formatCode="0.00000"/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numFmt numFmtId="166" formatCode="0.0000"/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styles" Target="style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Descarga AAA Vcorte 1,1 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6.0765747788264032E-2"/>
          <c:y val="7.7621530873246553E-2"/>
          <c:w val="0.89093490700354716"/>
          <c:h val="0.86362680601892605"/>
        </c:manualLayout>
      </c:layout>
      <c:scatterChart>
        <c:scatterStyle val="lineMarker"/>
        <c:varyColors val="0"/>
        <c:ser>
          <c:idx val="2"/>
          <c:order val="1"/>
          <c:tx>
            <c:strRef>
              <c:f>'25'!$F$1</c:f>
              <c:strCache>
                <c:ptCount val="1"/>
                <c:pt idx="0">
                  <c:v>Corriente [mA]2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noFill/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'25'!$A$2:$A$88</c:f>
              <c:numCache>
                <c:formatCode>0</c:formatCode>
                <c:ptCount val="8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</c:numCache>
            </c:numRef>
          </c:xVal>
          <c:yVal>
            <c:numRef>
              <c:f>'25'!$F$2:$F$88</c:f>
              <c:numCache>
                <c:formatCode>0.000</c:formatCode>
                <c:ptCount val="87"/>
                <c:pt idx="0">
                  <c:v>0</c:v>
                </c:pt>
                <c:pt idx="1">
                  <c:v>425.48700000000002</c:v>
                </c:pt>
                <c:pt idx="2">
                  <c:v>419.81200000000001</c:v>
                </c:pt>
                <c:pt idx="3">
                  <c:v>416.11200000000002</c:v>
                </c:pt>
                <c:pt idx="4">
                  <c:v>413.18700000000001</c:v>
                </c:pt>
                <c:pt idx="5">
                  <c:v>410.91199999999998</c:v>
                </c:pt>
                <c:pt idx="6">
                  <c:v>409.31200000000001</c:v>
                </c:pt>
                <c:pt idx="7">
                  <c:v>407.51299999999998</c:v>
                </c:pt>
                <c:pt idx="8">
                  <c:v>405.96300000000002</c:v>
                </c:pt>
                <c:pt idx="9">
                  <c:v>404.46300000000002</c:v>
                </c:pt>
                <c:pt idx="10">
                  <c:v>403.113</c:v>
                </c:pt>
                <c:pt idx="11">
                  <c:v>401.78800000000001</c:v>
                </c:pt>
                <c:pt idx="12">
                  <c:v>400.56299999999999</c:v>
                </c:pt>
                <c:pt idx="13">
                  <c:v>399.38799999999998</c:v>
                </c:pt>
                <c:pt idx="14">
                  <c:v>398.26299999999998</c:v>
                </c:pt>
                <c:pt idx="15">
                  <c:v>397.26299999999998</c:v>
                </c:pt>
                <c:pt idx="16">
                  <c:v>396.21300000000002</c:v>
                </c:pt>
                <c:pt idx="17">
                  <c:v>395.21300000000002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402.26299999999998</c:v>
                </c:pt>
                <c:pt idx="25">
                  <c:v>398.91300000000001</c:v>
                </c:pt>
                <c:pt idx="26">
                  <c:v>396.63799999999998</c:v>
                </c:pt>
                <c:pt idx="27">
                  <c:v>394.88799999999998</c:v>
                </c:pt>
                <c:pt idx="28">
                  <c:v>393.43799999999999</c:v>
                </c:pt>
                <c:pt idx="29">
                  <c:v>392.113</c:v>
                </c:pt>
                <c:pt idx="30">
                  <c:v>390.988</c:v>
                </c:pt>
                <c:pt idx="31">
                  <c:v>389.88799999999998</c:v>
                </c:pt>
                <c:pt idx="32">
                  <c:v>388.91300000000001</c:v>
                </c:pt>
                <c:pt idx="33">
                  <c:v>388.01299999999998</c:v>
                </c:pt>
                <c:pt idx="34">
                  <c:v>387.13799999999998</c:v>
                </c:pt>
                <c:pt idx="35">
                  <c:v>386.28800000000001</c:v>
                </c:pt>
                <c:pt idx="36">
                  <c:v>385.488</c:v>
                </c:pt>
                <c:pt idx="37">
                  <c:v>384.66300000000001</c:v>
                </c:pt>
                <c:pt idx="38">
                  <c:v>383.91300000000001</c:v>
                </c:pt>
                <c:pt idx="39">
                  <c:v>383.16300000000001</c:v>
                </c:pt>
                <c:pt idx="40">
                  <c:v>382.51299999999998</c:v>
                </c:pt>
                <c:pt idx="41">
                  <c:v>381.96300000000002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389.41300000000001</c:v>
                </c:pt>
                <c:pt idx="49">
                  <c:v>386.41300000000001</c:v>
                </c:pt>
                <c:pt idx="50">
                  <c:v>384.43799999999999</c:v>
                </c:pt>
                <c:pt idx="51">
                  <c:v>382.96300000000002</c:v>
                </c:pt>
                <c:pt idx="52">
                  <c:v>381.738</c:v>
                </c:pt>
                <c:pt idx="53">
                  <c:v>380.83800000000002</c:v>
                </c:pt>
                <c:pt idx="54">
                  <c:v>379.91300000000001</c:v>
                </c:pt>
                <c:pt idx="55">
                  <c:v>379.08800000000002</c:v>
                </c:pt>
                <c:pt idx="56">
                  <c:v>378.31299999999999</c:v>
                </c:pt>
                <c:pt idx="57">
                  <c:v>377.58800000000002</c:v>
                </c:pt>
                <c:pt idx="58">
                  <c:v>376.93799999999999</c:v>
                </c:pt>
                <c:pt idx="59">
                  <c:v>376.26400000000001</c:v>
                </c:pt>
                <c:pt idx="60">
                  <c:v>375.63900000000001</c:v>
                </c:pt>
                <c:pt idx="61">
                  <c:v>375.03899999999999</c:v>
                </c:pt>
                <c:pt idx="62">
                  <c:v>374.43900000000002</c:v>
                </c:pt>
                <c:pt idx="63">
                  <c:v>373.86399999999998</c:v>
                </c:pt>
                <c:pt idx="64">
                  <c:v>373.31400000000002</c:v>
                </c:pt>
                <c:pt idx="65">
                  <c:v>372.76400000000001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380.41300000000001</c:v>
                </c:pt>
                <c:pt idx="73">
                  <c:v>377.41300000000001</c:v>
                </c:pt>
                <c:pt idx="74">
                  <c:v>375.48899999999998</c:v>
                </c:pt>
                <c:pt idx="75">
                  <c:v>374.06400000000002</c:v>
                </c:pt>
                <c:pt idx="76">
                  <c:v>372.91399999999999</c:v>
                </c:pt>
                <c:pt idx="77">
                  <c:v>371.93900000000002</c:v>
                </c:pt>
                <c:pt idx="78">
                  <c:v>371.03899999999999</c:v>
                </c:pt>
                <c:pt idx="79">
                  <c:v>370.23899999999998</c:v>
                </c:pt>
                <c:pt idx="80">
                  <c:v>369.53899999999999</c:v>
                </c:pt>
                <c:pt idx="81">
                  <c:v>368.839</c:v>
                </c:pt>
                <c:pt idx="82">
                  <c:v>368.214</c:v>
                </c:pt>
                <c:pt idx="83">
                  <c:v>367.589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D54-458A-A898-86873663A7B9}"/>
            </c:ext>
          </c:extLst>
        </c:ser>
        <c:ser>
          <c:idx val="3"/>
          <c:order val="2"/>
          <c:tx>
            <c:strRef>
              <c:f>'25'!$H$1</c:f>
              <c:strCache>
                <c:ptCount val="1"/>
                <c:pt idx="0">
                  <c:v>Potencia [mW]2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noFill/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'25'!$A$2:$A$88</c:f>
              <c:numCache>
                <c:formatCode>0</c:formatCode>
                <c:ptCount val="8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</c:numCache>
            </c:numRef>
          </c:xVal>
          <c:yVal>
            <c:numRef>
              <c:f>'25'!$H$2:$H$88</c:f>
              <c:numCache>
                <c:formatCode>0.00000</c:formatCode>
                <c:ptCount val="87"/>
                <c:pt idx="0">
                  <c:v>0</c:v>
                </c:pt>
                <c:pt idx="1">
                  <c:v>542.48344999999995</c:v>
                </c:pt>
                <c:pt idx="2">
                  <c:v>528.10888</c:v>
                </c:pt>
                <c:pt idx="3">
                  <c:v>519.35913000000005</c:v>
                </c:pt>
                <c:pt idx="4">
                  <c:v>510.60939999999999</c:v>
                </c:pt>
                <c:pt idx="5">
                  <c:v>504.98457999999999</c:v>
                </c:pt>
                <c:pt idx="6">
                  <c:v>502.48468000000003</c:v>
                </c:pt>
                <c:pt idx="7">
                  <c:v>497.48480000000001</c:v>
                </c:pt>
                <c:pt idx="8">
                  <c:v>494.35991999999999</c:v>
                </c:pt>
                <c:pt idx="9">
                  <c:v>490.61000999999999</c:v>
                </c:pt>
                <c:pt idx="10">
                  <c:v>487.48509999999999</c:v>
                </c:pt>
                <c:pt idx="11">
                  <c:v>483.11025999999998</c:v>
                </c:pt>
                <c:pt idx="12">
                  <c:v>479.98534999999998</c:v>
                </c:pt>
                <c:pt idx="13">
                  <c:v>478.11041</c:v>
                </c:pt>
                <c:pt idx="14">
                  <c:v>474.9855</c:v>
                </c:pt>
                <c:pt idx="15">
                  <c:v>473.11056000000002</c:v>
                </c:pt>
                <c:pt idx="16">
                  <c:v>469.98565000000002</c:v>
                </c:pt>
                <c:pt idx="17">
                  <c:v>468.11070999999998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485.61016000000001</c:v>
                </c:pt>
                <c:pt idx="25">
                  <c:v>477.48541</c:v>
                </c:pt>
                <c:pt idx="26">
                  <c:v>471.23561999999998</c:v>
                </c:pt>
                <c:pt idx="27">
                  <c:v>466.86074000000002</c:v>
                </c:pt>
                <c:pt idx="28">
                  <c:v>463.73583000000002</c:v>
                </c:pt>
                <c:pt idx="29">
                  <c:v>460.61093</c:v>
                </c:pt>
                <c:pt idx="30">
                  <c:v>458.11102</c:v>
                </c:pt>
                <c:pt idx="31">
                  <c:v>455.61108000000002</c:v>
                </c:pt>
                <c:pt idx="32">
                  <c:v>453.11117000000002</c:v>
                </c:pt>
                <c:pt idx="33">
                  <c:v>450.61122999999998</c:v>
                </c:pt>
                <c:pt idx="34">
                  <c:v>449.36129</c:v>
                </c:pt>
                <c:pt idx="35">
                  <c:v>447.48631999999998</c:v>
                </c:pt>
                <c:pt idx="36">
                  <c:v>445.61138</c:v>
                </c:pt>
                <c:pt idx="37">
                  <c:v>443.11147999999997</c:v>
                </c:pt>
                <c:pt idx="38">
                  <c:v>440.61153999999999</c:v>
                </c:pt>
                <c:pt idx="39">
                  <c:v>439.36160000000001</c:v>
                </c:pt>
                <c:pt idx="40">
                  <c:v>437.48662999999999</c:v>
                </c:pt>
                <c:pt idx="41">
                  <c:v>436.23669000000001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453.73613999999998</c:v>
                </c:pt>
                <c:pt idx="49">
                  <c:v>446.86135000000002</c:v>
                </c:pt>
                <c:pt idx="50">
                  <c:v>442.48651000000001</c:v>
                </c:pt>
                <c:pt idx="51">
                  <c:v>439.36160000000001</c:v>
                </c:pt>
                <c:pt idx="52">
                  <c:v>436.23669000000001</c:v>
                </c:pt>
                <c:pt idx="53">
                  <c:v>434.36174999999997</c:v>
                </c:pt>
                <c:pt idx="54">
                  <c:v>431.86180999999999</c:v>
                </c:pt>
                <c:pt idx="55">
                  <c:v>429.98687000000001</c:v>
                </c:pt>
                <c:pt idx="56">
                  <c:v>428.11192999999997</c:v>
                </c:pt>
                <c:pt idx="57">
                  <c:v>426.86196000000001</c:v>
                </c:pt>
                <c:pt idx="58">
                  <c:v>424.98703</c:v>
                </c:pt>
                <c:pt idx="59">
                  <c:v>423.73705999999999</c:v>
                </c:pt>
                <c:pt idx="60">
                  <c:v>422.48712</c:v>
                </c:pt>
                <c:pt idx="61">
                  <c:v>420.61214999999999</c:v>
                </c:pt>
                <c:pt idx="62">
                  <c:v>419.98718000000002</c:v>
                </c:pt>
                <c:pt idx="63">
                  <c:v>417.48723999999999</c:v>
                </c:pt>
                <c:pt idx="64">
                  <c:v>416.86227000000002</c:v>
                </c:pt>
                <c:pt idx="65">
                  <c:v>415.6123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433.11178000000001</c:v>
                </c:pt>
                <c:pt idx="73">
                  <c:v>426.23698999999999</c:v>
                </c:pt>
                <c:pt idx="74">
                  <c:v>421.86212</c:v>
                </c:pt>
                <c:pt idx="75">
                  <c:v>418.73721</c:v>
                </c:pt>
                <c:pt idx="76">
                  <c:v>415.6123</c:v>
                </c:pt>
                <c:pt idx="77">
                  <c:v>413.73736000000002</c:v>
                </c:pt>
                <c:pt idx="78">
                  <c:v>412.48741999999999</c:v>
                </c:pt>
                <c:pt idx="79">
                  <c:v>410.61245000000002</c:v>
                </c:pt>
                <c:pt idx="80">
                  <c:v>408.73750999999999</c:v>
                </c:pt>
                <c:pt idx="81">
                  <c:v>407.48754000000002</c:v>
                </c:pt>
                <c:pt idx="82">
                  <c:v>405.61259999999999</c:v>
                </c:pt>
                <c:pt idx="83">
                  <c:v>404.36266999999998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D54-458A-A898-86873663A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3402815"/>
        <c:axId val="2103405695"/>
      </c:scatterChart>
      <c:scatterChart>
        <c:scatterStyle val="lineMarker"/>
        <c:varyColors val="0"/>
        <c:ser>
          <c:idx val="1"/>
          <c:order val="0"/>
          <c:tx>
            <c:strRef>
              <c:f>'25'!$C$1</c:f>
              <c:strCache>
                <c:ptCount val="1"/>
                <c:pt idx="0">
                  <c:v>Tension [V]2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'25'!$A$2:$A$88</c:f>
              <c:numCache>
                <c:formatCode>0</c:formatCode>
                <c:ptCount val="8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</c:numCache>
            </c:numRef>
          </c:xVal>
          <c:yVal>
            <c:numRef>
              <c:f>'25'!$C$2:$C$88</c:f>
              <c:numCache>
                <c:formatCode>0.000</c:formatCode>
                <c:ptCount val="87"/>
                <c:pt idx="0">
                  <c:v>1.5760000000000001</c:v>
                </c:pt>
                <c:pt idx="1">
                  <c:v>1.276</c:v>
                </c:pt>
                <c:pt idx="2">
                  <c:v>1.2589999999999999</c:v>
                </c:pt>
                <c:pt idx="3">
                  <c:v>1.2470000000000001</c:v>
                </c:pt>
                <c:pt idx="4">
                  <c:v>1.236</c:v>
                </c:pt>
                <c:pt idx="5">
                  <c:v>1.2290000000000001</c:v>
                </c:pt>
                <c:pt idx="6">
                  <c:v>1.2270000000000001</c:v>
                </c:pt>
                <c:pt idx="7">
                  <c:v>1.2210000000000001</c:v>
                </c:pt>
                <c:pt idx="8">
                  <c:v>1.2170000000000001</c:v>
                </c:pt>
                <c:pt idx="9">
                  <c:v>1.212</c:v>
                </c:pt>
                <c:pt idx="10">
                  <c:v>1.2090000000000001</c:v>
                </c:pt>
                <c:pt idx="11">
                  <c:v>1.204</c:v>
                </c:pt>
                <c:pt idx="12">
                  <c:v>1.2</c:v>
                </c:pt>
                <c:pt idx="13">
                  <c:v>1.1970000000000001</c:v>
                </c:pt>
                <c:pt idx="14">
                  <c:v>1.194</c:v>
                </c:pt>
                <c:pt idx="15">
                  <c:v>1.19</c:v>
                </c:pt>
                <c:pt idx="16">
                  <c:v>1.1870000000000001</c:v>
                </c:pt>
                <c:pt idx="17">
                  <c:v>1.1839999999999999</c:v>
                </c:pt>
                <c:pt idx="18">
                  <c:v>1.4419999999999999</c:v>
                </c:pt>
                <c:pt idx="19">
                  <c:v>1.454</c:v>
                </c:pt>
                <c:pt idx="20">
                  <c:v>1.46</c:v>
                </c:pt>
                <c:pt idx="21">
                  <c:v>1.4650000000000001</c:v>
                </c:pt>
                <c:pt idx="22">
                  <c:v>1.47</c:v>
                </c:pt>
                <c:pt idx="23">
                  <c:v>1.474</c:v>
                </c:pt>
                <c:pt idx="24">
                  <c:v>1.206</c:v>
                </c:pt>
                <c:pt idx="25">
                  <c:v>1.196</c:v>
                </c:pt>
                <c:pt idx="26">
                  <c:v>1.1890000000000001</c:v>
                </c:pt>
                <c:pt idx="27">
                  <c:v>1.1839999999999999</c:v>
                </c:pt>
                <c:pt idx="28">
                  <c:v>1.179</c:v>
                </c:pt>
                <c:pt idx="29">
                  <c:v>1.175</c:v>
                </c:pt>
                <c:pt idx="30">
                  <c:v>1.1719999999999999</c:v>
                </c:pt>
                <c:pt idx="31">
                  <c:v>1.169</c:v>
                </c:pt>
                <c:pt idx="32">
                  <c:v>1.1659999999999999</c:v>
                </c:pt>
                <c:pt idx="33">
                  <c:v>1.1619999999999999</c:v>
                </c:pt>
                <c:pt idx="34">
                  <c:v>1.1599999999999999</c:v>
                </c:pt>
                <c:pt idx="35">
                  <c:v>1.157</c:v>
                </c:pt>
                <c:pt idx="36">
                  <c:v>1.155</c:v>
                </c:pt>
                <c:pt idx="37">
                  <c:v>1.1539999999999999</c:v>
                </c:pt>
                <c:pt idx="38">
                  <c:v>1.147</c:v>
                </c:pt>
                <c:pt idx="39">
                  <c:v>1.1459999999999999</c:v>
                </c:pt>
                <c:pt idx="40">
                  <c:v>1.1439999999999999</c:v>
                </c:pt>
                <c:pt idx="41">
                  <c:v>1.141</c:v>
                </c:pt>
                <c:pt idx="42">
                  <c:v>1.401</c:v>
                </c:pt>
                <c:pt idx="43">
                  <c:v>1.411</c:v>
                </c:pt>
                <c:pt idx="44">
                  <c:v>1.419</c:v>
                </c:pt>
                <c:pt idx="45">
                  <c:v>1.4239999999999999</c:v>
                </c:pt>
                <c:pt idx="46">
                  <c:v>1.427</c:v>
                </c:pt>
                <c:pt idx="47">
                  <c:v>1.43</c:v>
                </c:pt>
                <c:pt idx="48">
                  <c:v>1.1659999999999999</c:v>
                </c:pt>
                <c:pt idx="49">
                  <c:v>1.157</c:v>
                </c:pt>
                <c:pt idx="50">
                  <c:v>1.1499999999999999</c:v>
                </c:pt>
                <c:pt idx="51">
                  <c:v>1.1459999999999999</c:v>
                </c:pt>
                <c:pt idx="52">
                  <c:v>1.1419999999999999</c:v>
                </c:pt>
                <c:pt idx="53">
                  <c:v>1.1399999999999999</c:v>
                </c:pt>
                <c:pt idx="54">
                  <c:v>1.137</c:v>
                </c:pt>
                <c:pt idx="55">
                  <c:v>1.135</c:v>
                </c:pt>
                <c:pt idx="56">
                  <c:v>1.1319999999999999</c:v>
                </c:pt>
                <c:pt idx="57">
                  <c:v>1.1299999999999999</c:v>
                </c:pt>
                <c:pt idx="58">
                  <c:v>1.129</c:v>
                </c:pt>
                <c:pt idx="59">
                  <c:v>1.1259999999999999</c:v>
                </c:pt>
                <c:pt idx="60">
                  <c:v>1.125</c:v>
                </c:pt>
                <c:pt idx="61">
                  <c:v>1.1220000000000001</c:v>
                </c:pt>
                <c:pt idx="62">
                  <c:v>1.1200000000000001</c:v>
                </c:pt>
                <c:pt idx="63">
                  <c:v>1.119</c:v>
                </c:pt>
                <c:pt idx="64">
                  <c:v>1.117</c:v>
                </c:pt>
                <c:pt idx="65">
                  <c:v>1.1160000000000001</c:v>
                </c:pt>
                <c:pt idx="66">
                  <c:v>1.377</c:v>
                </c:pt>
                <c:pt idx="67">
                  <c:v>1.387</c:v>
                </c:pt>
                <c:pt idx="68">
                  <c:v>1.395</c:v>
                </c:pt>
                <c:pt idx="69">
                  <c:v>1.4</c:v>
                </c:pt>
                <c:pt idx="70">
                  <c:v>1.4039999999999999</c:v>
                </c:pt>
                <c:pt idx="71">
                  <c:v>1.4059999999999999</c:v>
                </c:pt>
                <c:pt idx="72">
                  <c:v>1.139</c:v>
                </c:pt>
                <c:pt idx="73">
                  <c:v>1.1299999999999999</c:v>
                </c:pt>
                <c:pt idx="74">
                  <c:v>1.1240000000000001</c:v>
                </c:pt>
                <c:pt idx="75">
                  <c:v>1.1200000000000001</c:v>
                </c:pt>
                <c:pt idx="76">
                  <c:v>1.1160000000000001</c:v>
                </c:pt>
                <c:pt idx="77">
                  <c:v>1.1140000000000001</c:v>
                </c:pt>
                <c:pt idx="78">
                  <c:v>1.111</c:v>
                </c:pt>
                <c:pt idx="79">
                  <c:v>1.109</c:v>
                </c:pt>
                <c:pt idx="80">
                  <c:v>1.1060000000000001</c:v>
                </c:pt>
                <c:pt idx="81">
                  <c:v>1.1040000000000001</c:v>
                </c:pt>
                <c:pt idx="82">
                  <c:v>1.1020000000000001</c:v>
                </c:pt>
                <c:pt idx="83">
                  <c:v>1.1000000000000001</c:v>
                </c:pt>
                <c:pt idx="84">
                  <c:v>1.4061999999999999</c:v>
                </c:pt>
                <c:pt idx="85">
                  <c:v>1.4061999999999999</c:v>
                </c:pt>
                <c:pt idx="86">
                  <c:v>1.4061999999999999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54-458A-A898-86873663A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4083151"/>
        <c:axId val="2104084111"/>
      </c:scatterChart>
      <c:valAx>
        <c:axId val="2103402815"/>
        <c:scaling>
          <c:orientation val="minMax"/>
          <c:max val="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03405695"/>
        <c:crosses val="autoZero"/>
        <c:crossBetween val="midCat"/>
      </c:valAx>
      <c:valAx>
        <c:axId val="210340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03402815"/>
        <c:crosses val="autoZero"/>
        <c:crossBetween val="midCat"/>
      </c:valAx>
      <c:valAx>
        <c:axId val="2104084111"/>
        <c:scaling>
          <c:orientation val="minMax"/>
          <c:max val="1.6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04083151"/>
        <c:crosses val="max"/>
        <c:crossBetween val="midCat"/>
      </c:valAx>
      <c:valAx>
        <c:axId val="2104083151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2104084111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943657508880738"/>
          <c:y val="0.60890987463372082"/>
          <c:w val="0.31781975293653181"/>
          <c:h val="3.53160555778749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8F97EEE-4732-412E-80BF-49FA0B8C78AB}">
  <sheetPr/>
  <sheetViews>
    <sheetView zoomScale="7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0892" cy="6068458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39D9D28-0D99-1E18-646A-50699E54A7C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4A92DA24-B402-439B-848C-2958DE0FAF01}" autoFormatId="16" applyNumberFormats="0" applyBorderFormats="0" applyFontFormats="0" applyPatternFormats="0" applyAlignmentFormats="0" applyWidthHeightFormats="0">
  <queryTableRefresh nextId="13" unboundColumnsRight="2">
    <queryTableFields count="11">
      <queryTableField id="1" name="Tiempo [s]" tableColumnId="1"/>
      <queryTableField id="2" name="Tension [V]" tableColumnId="2"/>
      <queryTableField id="6" dataBound="0" tableColumnId="6"/>
      <queryTableField id="3" name="Corriente [mA]" tableColumnId="3"/>
      <queryTableField id="10" dataBound="0" tableColumnId="10"/>
      <queryTableField id="7" dataBound="0" tableColumnId="7"/>
      <queryTableField id="4" name="Potencia [mW]" tableColumnId="4"/>
      <queryTableField id="8" dataBound="0" tableColumnId="8"/>
      <queryTableField id="5" name="Rele 1=activo 0=apagado" tableColumnId="5"/>
      <queryTableField id="11" dataBound="0" tableColumnId="11"/>
      <queryTableField id="12" dataBound="0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C37C37BE-A032-425E-9530-561A40BEF1CD}" autoFormatId="16" applyNumberFormats="0" applyBorderFormats="0" applyFontFormats="0" applyPatternFormats="0" applyAlignmentFormats="0" applyWidthHeightFormats="0">
  <queryTableRefresh nextId="13" unboundColumnsRight="2">
    <queryTableFields count="11">
      <queryTableField id="1" name="Tiempo [s]" tableColumnId="1"/>
      <queryTableField id="2" name="Tension [V]" tableColumnId="2"/>
      <queryTableField id="6" dataBound="0" tableColumnId="6"/>
      <queryTableField id="3" name="Corriente [mA]" tableColumnId="3"/>
      <queryTableField id="10" dataBound="0" tableColumnId="10"/>
      <queryTableField id="7" dataBound="0" tableColumnId="7"/>
      <queryTableField id="4" name="Potencia [mW]" tableColumnId="4"/>
      <queryTableField id="8" dataBound="0" tableColumnId="8"/>
      <queryTableField id="5" name="Rele 1=activo 0=apagado" tableColumnId="5"/>
      <queryTableField id="11" dataBound="0" tableColumnId="11"/>
      <queryTableField id="12" dataBound="0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854071-7FC0-4B88-AECE-CCA0D5BEEA4E}" name="_25" displayName="_25" ref="A1:K89" tableType="queryTable" totalsRowCount="1" headerRowDxfId="38" dataDxfId="36" totalsRowDxfId="37">
  <autoFilter ref="A1:K88" xr:uid="{73854071-7FC0-4B88-AECE-CCA0D5BEEA4E}"/>
  <tableColumns count="11">
    <tableColumn id="1" xr3:uid="{96160195-F64E-41AA-81B3-986D71D4F780}" uniqueName="1" name="Tiempo [s]" totalsRowFunction="custom" queryTableFieldId="1" dataDxfId="49" totalsRowDxfId="35">
      <totalsRowFormula>(A85/60)/60</totalsRowFormula>
    </tableColumn>
    <tableColumn id="2" xr3:uid="{CD1377E7-9802-4881-8F80-90B1AA9FE415}" uniqueName="2" name="Tension [V]" queryTableFieldId="2" dataDxfId="48" totalsRowDxfId="34"/>
    <tableColumn id="6" xr3:uid="{70596AC7-C14C-4F79-A0BE-7CD88F44A819}" uniqueName="6" name="Tension [V]2" queryTableFieldId="6" dataDxfId="47" totalsRowDxfId="33">
      <calculatedColumnFormula>_25[[#This Row],[Tension '[V']]]/1000</calculatedColumnFormula>
    </tableColumn>
    <tableColumn id="3" xr3:uid="{17D0EB49-8C24-4A54-A938-3F938BD79036}" uniqueName="3" name="Corriente [mA]" queryTableFieldId="3" dataDxfId="46" totalsRowDxfId="32"/>
    <tableColumn id="10" xr3:uid="{54E5B3D7-19B7-42B0-8DB1-8FDEFC115EC9}" uniqueName="10" name="Ra [Ω]" queryTableFieldId="10" dataDxfId="45" totalsRowDxfId="31">
      <calculatedColumnFormula>(C4-C3)/(F1/1000)</calculatedColumnFormula>
    </tableColumn>
    <tableColumn id="7" xr3:uid="{F3E665F5-2E8C-4380-9FB1-81914E9F7EE2}" uniqueName="7" name="Corriente [mA]2" totalsRowFunction="custom" queryTableFieldId="7" dataDxfId="44" totalsRowDxfId="30">
      <calculatedColumnFormula>_25[[#This Row],[Corriente '[mA']]]/1000</calculatedColumnFormula>
      <totalsRowFormula>AVERAGEIF(_25[Corriente '[mA']2],"&gt;0")</totalsRowFormula>
    </tableColumn>
    <tableColumn id="4" xr3:uid="{5DDD390A-0CCF-4720-8876-3E079C262B6A}" uniqueName="4" name="Potencia [mW]" queryTableFieldId="4" dataDxfId="43" totalsRowDxfId="29"/>
    <tableColumn id="8" xr3:uid="{9CB30915-C13E-4B7B-BC1A-9FF4EBCE8EE2}" uniqueName="8" name="Potencia [mW]2" queryTableFieldId="8" dataDxfId="42" totalsRowDxfId="28">
      <calculatedColumnFormula>_25[[#This Row],[Potencia '[mW']]]/100000</calculatedColumnFormula>
    </tableColumn>
    <tableColumn id="5" xr3:uid="{DB0D8CC4-A1F8-4710-9D5A-5F62D5528D5D}" uniqueName="5" name="Rele 1=activo 0=apagado" queryTableFieldId="5" dataDxfId="41" totalsRowDxfId="27"/>
    <tableColumn id="11" xr3:uid="{2B5AA038-B00C-48D7-81EF-164B45C8CE93}" uniqueName="11" name="CmAh" totalsRowFunction="custom" queryTableFieldId="11" dataDxfId="40" totalsRowDxfId="26">
      <totalsRowFormula>_25[[#Totals],[Corriente '[mA']2]]*_25[[#Totals],[Tiempo '[s']]]</totalsRowFormula>
    </tableColumn>
    <tableColumn id="12" xr3:uid="{D8AAD1F2-C5FF-401E-8DE6-755DC06EFB76}" uniqueName="12" name="Columna2" totalsRowLabel="[mAh]" queryTableFieldId="12" dataDxfId="39" totalsRow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E9E2DD-473F-4F27-89DC-8D993CECC68F}" name="_25_3" displayName="_25_3" ref="A1:K89" tableType="queryTable" totalsRowCount="1" headerRowDxfId="24" dataDxfId="23" totalsRowDxfId="22">
  <autoFilter ref="A1:K88" xr:uid="{73854071-7FC0-4B88-AECE-CCA0D5BEEA4E}"/>
  <tableColumns count="11">
    <tableColumn id="1" xr3:uid="{FEE4E0C4-8C2B-4186-B31D-B92B94144653}" uniqueName="1" name="Tiempo [s]" totalsRowFunction="custom" queryTableFieldId="1" dataDxfId="21" totalsRowDxfId="10">
      <totalsRowFormula>(A85-(A73-A68)-(A49-A44)-(A25-A20))/3600</totalsRowFormula>
    </tableColumn>
    <tableColumn id="2" xr3:uid="{8CFE03DB-9713-49DF-8DFB-91EB15491291}" uniqueName="2" name="Tension [V]" queryTableFieldId="2" dataDxfId="20" totalsRowDxfId="9"/>
    <tableColumn id="6" xr3:uid="{4859F7CF-8442-418C-9402-E7297FD5E10A}" uniqueName="6" name="Tension [V]2" queryTableFieldId="6" dataDxfId="19" totalsRowDxfId="8">
      <calculatedColumnFormula>_25_3[[#This Row],[Tension '[V']]]/1000</calculatedColumnFormula>
    </tableColumn>
    <tableColumn id="3" xr3:uid="{486F8A19-D6E8-4DED-980C-4E365E6A5F56}" uniqueName="3" name="Corriente [mA]" queryTableFieldId="3" dataDxfId="18" totalsRowDxfId="7"/>
    <tableColumn id="10" xr3:uid="{0E84AC81-CE3D-400B-9353-3A2A1A3E5F5B}" uniqueName="10" name="Ra [Ω]" queryTableFieldId="10" dataDxfId="17" totalsRowDxfId="6">
      <calculatedColumnFormula>(C4-C3)/(F1/1000)</calculatedColumnFormula>
    </tableColumn>
    <tableColumn id="7" xr3:uid="{46ED9289-55B8-4B91-A550-6DABF5BDF270}" uniqueName="7" name="Corriente [mA]2" totalsRowFunction="custom" queryTableFieldId="7" dataDxfId="16" totalsRowDxfId="5">
      <calculatedColumnFormula>_25_3[[#This Row],[Corriente '[mA']]]/1000</calculatedColumnFormula>
      <totalsRowFormula>AVERAGEIF(_25_3[Corriente '[mA']2],"&gt;0")</totalsRowFormula>
    </tableColumn>
    <tableColumn id="4" xr3:uid="{06D24AE8-2567-403D-87E0-9D8B3420A2B7}" uniqueName="4" name="Potencia [mW]" queryTableFieldId="4" dataDxfId="15" totalsRowDxfId="4"/>
    <tableColumn id="8" xr3:uid="{4DDF05BB-1D4E-4AB3-9FED-726EEB0ECACE}" uniqueName="8" name="Potencia [mW]2" queryTableFieldId="8" dataDxfId="14" totalsRowDxfId="3">
      <calculatedColumnFormula>_25_3[[#This Row],[Potencia '[mW']]]/100000</calculatedColumnFormula>
    </tableColumn>
    <tableColumn id="5" xr3:uid="{D8C9FC8C-1A6E-47FA-931E-3D0434FAC8BC}" uniqueName="5" name="Rele 1=activo 0=apagado" queryTableFieldId="5" dataDxfId="13" totalsRowDxfId="2"/>
    <tableColumn id="11" xr3:uid="{68407844-5E8C-4767-98AE-76E916A19B71}" uniqueName="11" name="CmAh" totalsRowFunction="custom" queryTableFieldId="11" dataDxfId="12" totalsRowDxfId="1">
      <calculatedColumnFormula>($A$3/3600)*((F1+F2)/2)</calculatedColumnFormula>
      <totalsRowFormula>_25_3[[#Totals],[Corriente '[mA']2]]*_25_3[[#Totals],[Tiempo '[s']]]</totalsRowFormula>
    </tableColumn>
    <tableColumn id="12" xr3:uid="{12657AA7-F4A8-414F-96DE-BFE959783688}" uniqueName="12" name="Columna2" totalsRowLabel="[mAh]" queryTableFieldId="12" dataDxfId="11" totalsRowDxfId="0">
      <calculatedColumnFormula>($A$3/3600)*(F1/2+F2+F3/2)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02F1E-225A-42D4-913B-A9E8F440BB3E}">
  <dimension ref="A1:K90"/>
  <sheetViews>
    <sheetView workbookViewId="0">
      <selection activeCell="I3" sqref="I3"/>
    </sheetView>
  </sheetViews>
  <sheetFormatPr baseColWidth="10" defaultRowHeight="14.4" x14ac:dyDescent="0.3"/>
  <cols>
    <col min="1" max="1" width="7.88671875" style="1" customWidth="1"/>
    <col min="2" max="2" width="7.88671875" style="5" customWidth="1"/>
    <col min="3" max="3" width="9.77734375" style="3" customWidth="1"/>
    <col min="4" max="4" width="9" style="5" customWidth="1"/>
    <col min="5" max="5" width="9.6640625" style="5" customWidth="1"/>
    <col min="6" max="6" width="9" style="3" customWidth="1"/>
    <col min="7" max="7" width="10.5546875" style="5" customWidth="1"/>
    <col min="8" max="8" width="11.33203125" style="4" customWidth="1"/>
    <col min="9" max="9" width="14.33203125" style="5" customWidth="1"/>
    <col min="10" max="16384" width="11.5546875" style="5"/>
  </cols>
  <sheetData>
    <row r="1" spans="1:11" s="14" customFormat="1" ht="29.4" customHeight="1" x14ac:dyDescent="0.3">
      <c r="A1" s="10" t="s">
        <v>0</v>
      </c>
      <c r="B1" s="11" t="s">
        <v>1</v>
      </c>
      <c r="C1" s="12" t="s">
        <v>6</v>
      </c>
      <c r="D1" s="11" t="s">
        <v>2</v>
      </c>
      <c r="E1" s="11" t="s">
        <v>9</v>
      </c>
      <c r="F1" s="12" t="s">
        <v>7</v>
      </c>
      <c r="G1" s="11" t="s">
        <v>3</v>
      </c>
      <c r="H1" s="13" t="s">
        <v>8</v>
      </c>
      <c r="I1" s="14" t="s">
        <v>4</v>
      </c>
      <c r="J1" s="14" t="s">
        <v>12</v>
      </c>
      <c r="K1" s="14" t="s">
        <v>11</v>
      </c>
    </row>
    <row r="2" spans="1:11" x14ac:dyDescent="0.3">
      <c r="A2" s="1">
        <v>0</v>
      </c>
      <c r="B2" s="5">
        <v>1576</v>
      </c>
      <c r="C2" s="3">
        <f>_25[[#This Row],[Tension '[V']]]/1000</f>
        <v>1.5760000000000001</v>
      </c>
      <c r="D2" s="5">
        <v>0</v>
      </c>
      <c r="E2" s="15"/>
      <c r="F2" s="3">
        <f>_25[[#This Row],[Corriente '[mA']]]/1000</f>
        <v>0</v>
      </c>
      <c r="G2" s="5">
        <v>0</v>
      </c>
      <c r="H2" s="4">
        <f>_25[[#This Row],[Potencia '[mW']]]/100000</f>
        <v>0</v>
      </c>
      <c r="I2" s="5">
        <v>0</v>
      </c>
    </row>
    <row r="3" spans="1:11" x14ac:dyDescent="0.3">
      <c r="A3" s="1">
        <f>A2+10</f>
        <v>10</v>
      </c>
      <c r="B3" s="5">
        <v>1276</v>
      </c>
      <c r="C3" s="3">
        <f>_25[[#This Row],[Tension '[V']]]/1000</f>
        <v>1.276</v>
      </c>
      <c r="D3" s="5">
        <v>425487</v>
      </c>
      <c r="E3" s="15"/>
      <c r="F3" s="3">
        <f>_25[[#This Row],[Corriente '[mA']]]/1000</f>
        <v>425.48700000000002</v>
      </c>
      <c r="G3" s="5">
        <v>54248345</v>
      </c>
      <c r="H3" s="4">
        <f>_25[[#This Row],[Potencia '[mW']]]/100000</f>
        <v>542.48344999999995</v>
      </c>
      <c r="I3" s="5">
        <f>($A$3/3600)*1000</f>
        <v>2.7777777777777777</v>
      </c>
    </row>
    <row r="4" spans="1:11" x14ac:dyDescent="0.3">
      <c r="A4" s="1">
        <f t="shared" ref="A4:A67" si="0">A3+10</f>
        <v>20</v>
      </c>
      <c r="B4" s="5">
        <v>1259</v>
      </c>
      <c r="C4" s="3">
        <f>_25[[#This Row],[Tension '[V']]]/1000</f>
        <v>1.2589999999999999</v>
      </c>
      <c r="D4" s="5">
        <v>419812</v>
      </c>
      <c r="E4" s="15"/>
      <c r="F4" s="3">
        <f>_25[[#This Row],[Corriente '[mA']]]/1000</f>
        <v>419.81200000000001</v>
      </c>
      <c r="G4" s="5">
        <v>52810888</v>
      </c>
      <c r="H4" s="4">
        <f>_25[[#This Row],[Potencia '[mW']]]/100000</f>
        <v>528.10888</v>
      </c>
      <c r="I4" s="5">
        <v>0</v>
      </c>
    </row>
    <row r="5" spans="1:11" x14ac:dyDescent="0.3">
      <c r="A5" s="1">
        <f t="shared" si="0"/>
        <v>30</v>
      </c>
      <c r="B5" s="5">
        <v>1247</v>
      </c>
      <c r="C5" s="3">
        <f>_25[[#This Row],[Tension '[V']]]/1000</f>
        <v>1.2470000000000001</v>
      </c>
      <c r="D5" s="5">
        <v>416112</v>
      </c>
      <c r="E5" s="15"/>
      <c r="F5" s="3">
        <f>_25[[#This Row],[Corriente '[mA']]]/1000</f>
        <v>416.11200000000002</v>
      </c>
      <c r="G5" s="5">
        <v>51935913</v>
      </c>
      <c r="H5" s="4">
        <f>_25[[#This Row],[Potencia '[mW']]]/100000</f>
        <v>519.35913000000005</v>
      </c>
      <c r="I5" s="5">
        <v>0</v>
      </c>
    </row>
    <row r="6" spans="1:11" x14ac:dyDescent="0.3">
      <c r="A6" s="1">
        <f t="shared" si="0"/>
        <v>40</v>
      </c>
      <c r="B6" s="5">
        <v>1236</v>
      </c>
      <c r="C6" s="3">
        <f>_25[[#This Row],[Tension '[V']]]/1000</f>
        <v>1.236</v>
      </c>
      <c r="D6" s="5">
        <v>413187</v>
      </c>
      <c r="E6" s="15"/>
      <c r="F6" s="3">
        <f>_25[[#This Row],[Corriente '[mA']]]/1000</f>
        <v>413.18700000000001</v>
      </c>
      <c r="G6" s="5">
        <v>51060940</v>
      </c>
      <c r="H6" s="4">
        <f>_25[[#This Row],[Potencia '[mW']]]/100000</f>
        <v>510.60939999999999</v>
      </c>
      <c r="I6" s="5">
        <v>0</v>
      </c>
    </row>
    <row r="7" spans="1:11" x14ac:dyDescent="0.3">
      <c r="A7" s="1">
        <f t="shared" si="0"/>
        <v>50</v>
      </c>
      <c r="B7" s="5">
        <v>1229</v>
      </c>
      <c r="C7" s="3">
        <f>_25[[#This Row],[Tension '[V']]]/1000</f>
        <v>1.2290000000000001</v>
      </c>
      <c r="D7" s="5">
        <v>410912</v>
      </c>
      <c r="E7" s="15"/>
      <c r="F7" s="3">
        <f>_25[[#This Row],[Corriente '[mA']]]/1000</f>
        <v>410.91199999999998</v>
      </c>
      <c r="G7" s="5">
        <v>50498458</v>
      </c>
      <c r="H7" s="4">
        <f>_25[[#This Row],[Potencia '[mW']]]/100000</f>
        <v>504.98457999999999</v>
      </c>
      <c r="I7" s="5">
        <v>0</v>
      </c>
    </row>
    <row r="8" spans="1:11" x14ac:dyDescent="0.3">
      <c r="A8" s="1">
        <f t="shared" si="0"/>
        <v>60</v>
      </c>
      <c r="B8" s="5">
        <v>1227</v>
      </c>
      <c r="C8" s="3">
        <f>_25[[#This Row],[Tension '[V']]]/1000</f>
        <v>1.2270000000000001</v>
      </c>
      <c r="D8" s="5">
        <v>409312</v>
      </c>
      <c r="E8" s="15"/>
      <c r="F8" s="3">
        <f>_25[[#This Row],[Corriente '[mA']]]/1000</f>
        <v>409.31200000000001</v>
      </c>
      <c r="G8" s="5">
        <v>50248468</v>
      </c>
      <c r="H8" s="4">
        <f>_25[[#This Row],[Potencia '[mW']]]/100000</f>
        <v>502.48468000000003</v>
      </c>
      <c r="I8" s="5">
        <v>0</v>
      </c>
    </row>
    <row r="9" spans="1:11" x14ac:dyDescent="0.3">
      <c r="A9" s="1">
        <f t="shared" si="0"/>
        <v>70</v>
      </c>
      <c r="B9" s="5">
        <v>1221</v>
      </c>
      <c r="C9" s="3">
        <f>_25[[#This Row],[Tension '[V']]]/1000</f>
        <v>1.2210000000000001</v>
      </c>
      <c r="D9" s="5">
        <v>407513</v>
      </c>
      <c r="E9" s="15"/>
      <c r="F9" s="3">
        <f>_25[[#This Row],[Corriente '[mA']]]/1000</f>
        <v>407.51299999999998</v>
      </c>
      <c r="G9" s="5">
        <v>49748480</v>
      </c>
      <c r="H9" s="4">
        <f>_25[[#This Row],[Potencia '[mW']]]/100000</f>
        <v>497.48480000000001</v>
      </c>
      <c r="I9" s="5">
        <v>0</v>
      </c>
    </row>
    <row r="10" spans="1:11" x14ac:dyDescent="0.3">
      <c r="A10" s="1">
        <f t="shared" si="0"/>
        <v>80</v>
      </c>
      <c r="B10" s="5">
        <v>1217</v>
      </c>
      <c r="C10" s="3">
        <f>_25[[#This Row],[Tension '[V']]]/1000</f>
        <v>1.2170000000000001</v>
      </c>
      <c r="D10" s="5">
        <v>405963</v>
      </c>
      <c r="E10" s="15"/>
      <c r="F10" s="3">
        <f>_25[[#This Row],[Corriente '[mA']]]/1000</f>
        <v>405.96300000000002</v>
      </c>
      <c r="G10" s="5">
        <v>49435992</v>
      </c>
      <c r="H10" s="4">
        <f>_25[[#This Row],[Potencia '[mW']]]/100000</f>
        <v>494.35991999999999</v>
      </c>
      <c r="I10" s="5">
        <v>0</v>
      </c>
    </row>
    <row r="11" spans="1:11" x14ac:dyDescent="0.3">
      <c r="A11" s="1">
        <f t="shared" si="0"/>
        <v>90</v>
      </c>
      <c r="B11" s="5">
        <v>1212</v>
      </c>
      <c r="C11" s="3">
        <f>_25[[#This Row],[Tension '[V']]]/1000</f>
        <v>1.212</v>
      </c>
      <c r="D11" s="5">
        <v>404463</v>
      </c>
      <c r="E11" s="15"/>
      <c r="F11" s="3">
        <f>_25[[#This Row],[Corriente '[mA']]]/1000</f>
        <v>404.46300000000002</v>
      </c>
      <c r="G11" s="5">
        <v>49061001</v>
      </c>
      <c r="H11" s="4">
        <f>_25[[#This Row],[Potencia '[mW']]]/100000</f>
        <v>490.61000999999999</v>
      </c>
      <c r="I11" s="5">
        <v>0</v>
      </c>
    </row>
    <row r="12" spans="1:11" x14ac:dyDescent="0.3">
      <c r="A12" s="1">
        <f t="shared" si="0"/>
        <v>100</v>
      </c>
      <c r="B12" s="5">
        <v>1209</v>
      </c>
      <c r="C12" s="3">
        <f>_25[[#This Row],[Tension '[V']]]/1000</f>
        <v>1.2090000000000001</v>
      </c>
      <c r="D12" s="5">
        <v>403113</v>
      </c>
      <c r="E12" s="15"/>
      <c r="F12" s="3">
        <f>_25[[#This Row],[Corriente '[mA']]]/1000</f>
        <v>403.113</v>
      </c>
      <c r="G12" s="5">
        <v>48748510</v>
      </c>
      <c r="H12" s="4">
        <f>_25[[#This Row],[Potencia '[mW']]]/100000</f>
        <v>487.48509999999999</v>
      </c>
      <c r="I12" s="5">
        <v>0</v>
      </c>
    </row>
    <row r="13" spans="1:11" x14ac:dyDescent="0.3">
      <c r="A13" s="1">
        <f t="shared" si="0"/>
        <v>110</v>
      </c>
      <c r="B13" s="5">
        <v>1204</v>
      </c>
      <c r="C13" s="3">
        <f>_25[[#This Row],[Tension '[V']]]/1000</f>
        <v>1.204</v>
      </c>
      <c r="D13" s="5">
        <v>401788</v>
      </c>
      <c r="E13" s="15"/>
      <c r="F13" s="3">
        <f>_25[[#This Row],[Corriente '[mA']]]/1000</f>
        <v>401.78800000000001</v>
      </c>
      <c r="G13" s="5">
        <v>48311026</v>
      </c>
      <c r="H13" s="4">
        <f>_25[[#This Row],[Potencia '[mW']]]/100000</f>
        <v>483.11025999999998</v>
      </c>
      <c r="I13" s="5">
        <v>0</v>
      </c>
    </row>
    <row r="14" spans="1:11" x14ac:dyDescent="0.3">
      <c r="A14" s="1">
        <f t="shared" si="0"/>
        <v>120</v>
      </c>
      <c r="B14" s="5">
        <v>1200</v>
      </c>
      <c r="C14" s="3">
        <f>_25[[#This Row],[Tension '[V']]]/1000</f>
        <v>1.2</v>
      </c>
      <c r="D14" s="5">
        <v>400563</v>
      </c>
      <c r="E14" s="15"/>
      <c r="F14" s="3">
        <f>_25[[#This Row],[Corriente '[mA']]]/1000</f>
        <v>400.56299999999999</v>
      </c>
      <c r="G14" s="5">
        <v>47998535</v>
      </c>
      <c r="H14" s="4">
        <f>_25[[#This Row],[Potencia '[mW']]]/100000</f>
        <v>479.98534999999998</v>
      </c>
      <c r="I14" s="5">
        <v>0</v>
      </c>
    </row>
    <row r="15" spans="1:11" x14ac:dyDescent="0.3">
      <c r="A15" s="1">
        <f t="shared" si="0"/>
        <v>130</v>
      </c>
      <c r="B15" s="5">
        <v>1197</v>
      </c>
      <c r="C15" s="3">
        <f>_25[[#This Row],[Tension '[V']]]/1000</f>
        <v>1.1970000000000001</v>
      </c>
      <c r="D15" s="5">
        <v>399388</v>
      </c>
      <c r="E15" s="15"/>
      <c r="F15" s="3">
        <f>_25[[#This Row],[Corriente '[mA']]]/1000</f>
        <v>399.38799999999998</v>
      </c>
      <c r="G15" s="5">
        <v>47811041</v>
      </c>
      <c r="H15" s="4">
        <f>_25[[#This Row],[Potencia '[mW']]]/100000</f>
        <v>478.11041</v>
      </c>
      <c r="I15" s="5">
        <v>0</v>
      </c>
    </row>
    <row r="16" spans="1:11" x14ac:dyDescent="0.3">
      <c r="A16" s="1">
        <f t="shared" si="0"/>
        <v>140</v>
      </c>
      <c r="B16" s="5">
        <v>1194</v>
      </c>
      <c r="C16" s="3">
        <f>_25[[#This Row],[Tension '[V']]]/1000</f>
        <v>1.194</v>
      </c>
      <c r="D16" s="5">
        <v>398263</v>
      </c>
      <c r="E16" s="15"/>
      <c r="F16" s="3">
        <f>_25[[#This Row],[Corriente '[mA']]]/1000</f>
        <v>398.26299999999998</v>
      </c>
      <c r="G16" s="5">
        <v>47498550</v>
      </c>
      <c r="H16" s="4">
        <f>_25[[#This Row],[Potencia '[mW']]]/100000</f>
        <v>474.9855</v>
      </c>
      <c r="I16" s="5">
        <v>0</v>
      </c>
    </row>
    <row r="17" spans="1:9" x14ac:dyDescent="0.3">
      <c r="A17" s="1">
        <f t="shared" si="0"/>
        <v>150</v>
      </c>
      <c r="B17" s="5">
        <v>1190</v>
      </c>
      <c r="C17" s="3">
        <f>_25[[#This Row],[Tension '[V']]]/1000</f>
        <v>1.19</v>
      </c>
      <c r="D17" s="5">
        <v>397263</v>
      </c>
      <c r="E17" s="15"/>
      <c r="F17" s="3">
        <f>_25[[#This Row],[Corriente '[mA']]]/1000</f>
        <v>397.26299999999998</v>
      </c>
      <c r="G17" s="5">
        <v>47311056</v>
      </c>
      <c r="H17" s="4">
        <f>_25[[#This Row],[Potencia '[mW']]]/100000</f>
        <v>473.11056000000002</v>
      </c>
      <c r="I17" s="5">
        <v>0</v>
      </c>
    </row>
    <row r="18" spans="1:9" x14ac:dyDescent="0.3">
      <c r="A18" s="1">
        <f t="shared" si="0"/>
        <v>160</v>
      </c>
      <c r="B18" s="5">
        <v>1187</v>
      </c>
      <c r="C18" s="3">
        <f>_25[[#This Row],[Tension '[V']]]/1000</f>
        <v>1.1870000000000001</v>
      </c>
      <c r="D18" s="5">
        <v>396213</v>
      </c>
      <c r="E18" s="15"/>
      <c r="F18" s="3">
        <f>_25[[#This Row],[Corriente '[mA']]]/1000</f>
        <v>396.21300000000002</v>
      </c>
      <c r="G18" s="5">
        <v>46998565</v>
      </c>
      <c r="H18" s="4">
        <f>_25[[#This Row],[Potencia '[mW']]]/100000</f>
        <v>469.98565000000002</v>
      </c>
      <c r="I18" s="5">
        <v>0</v>
      </c>
    </row>
    <row r="19" spans="1:9" x14ac:dyDescent="0.3">
      <c r="A19" s="1">
        <f t="shared" si="0"/>
        <v>170</v>
      </c>
      <c r="B19" s="5">
        <v>1184</v>
      </c>
      <c r="C19" s="3">
        <f>_25[[#This Row],[Tension '[V']]]/1000</f>
        <v>1.1839999999999999</v>
      </c>
      <c r="D19" s="5">
        <v>395213</v>
      </c>
      <c r="E19" s="16">
        <f t="shared" ref="E2:E33" si="1">(C21-C20)/(F18/1000)</f>
        <v>3.0286739708187287E-2</v>
      </c>
      <c r="F19" s="3">
        <f>_25[[#This Row],[Corriente '[mA']]]/1000</f>
        <v>395.21300000000002</v>
      </c>
      <c r="G19" s="5">
        <v>46811071</v>
      </c>
      <c r="H19" s="4">
        <f>_25[[#This Row],[Potencia '[mW']]]/100000</f>
        <v>468.11070999999998</v>
      </c>
      <c r="I19" s="5">
        <v>1</v>
      </c>
    </row>
    <row r="20" spans="1:9" x14ac:dyDescent="0.3">
      <c r="A20" s="1">
        <f t="shared" si="0"/>
        <v>180</v>
      </c>
      <c r="B20" s="5">
        <v>1442</v>
      </c>
      <c r="C20" s="3">
        <f>_25[[#This Row],[Tension '[V']]]/1000</f>
        <v>1.4419999999999999</v>
      </c>
      <c r="D20" s="5">
        <v>0</v>
      </c>
      <c r="E20" s="15"/>
      <c r="F20" s="3">
        <f>_25[[#This Row],[Corriente '[mA']]]/1000</f>
        <v>0</v>
      </c>
      <c r="G20" s="5">
        <v>0</v>
      </c>
      <c r="H20" s="4">
        <f>_25[[#This Row],[Potencia '[mW']]]/100000</f>
        <v>0</v>
      </c>
      <c r="I20" s="5">
        <v>1</v>
      </c>
    </row>
    <row r="21" spans="1:9" x14ac:dyDescent="0.3">
      <c r="A21" s="1">
        <f t="shared" si="0"/>
        <v>190</v>
      </c>
      <c r="B21" s="5">
        <v>1454</v>
      </c>
      <c r="C21" s="3">
        <f>_25[[#This Row],[Tension '[V']]]/1000</f>
        <v>1.454</v>
      </c>
      <c r="D21" s="5">
        <v>0</v>
      </c>
      <c r="E21" s="15"/>
      <c r="F21" s="3">
        <f>_25[[#This Row],[Corriente '[mA']]]/1000</f>
        <v>0</v>
      </c>
      <c r="G21" s="5">
        <v>0</v>
      </c>
      <c r="H21" s="4">
        <f>_25[[#This Row],[Potencia '[mW']]]/100000</f>
        <v>0</v>
      </c>
      <c r="I21" s="5">
        <v>1</v>
      </c>
    </row>
    <row r="22" spans="1:9" x14ac:dyDescent="0.3">
      <c r="A22" s="1">
        <f t="shared" si="0"/>
        <v>200</v>
      </c>
      <c r="B22" s="5">
        <v>1460</v>
      </c>
      <c r="C22" s="3">
        <f>_25[[#This Row],[Tension '[V']]]/1000</f>
        <v>1.46</v>
      </c>
      <c r="D22" s="5">
        <v>0</v>
      </c>
      <c r="E22" s="15"/>
      <c r="F22" s="3">
        <f>_25[[#This Row],[Corriente '[mA']]]/1000</f>
        <v>0</v>
      </c>
      <c r="G22" s="5">
        <v>0</v>
      </c>
      <c r="H22" s="4">
        <f>_25[[#This Row],[Potencia '[mW']]]/100000</f>
        <v>0</v>
      </c>
      <c r="I22" s="5">
        <v>1</v>
      </c>
    </row>
    <row r="23" spans="1:9" x14ac:dyDescent="0.3">
      <c r="A23" s="1">
        <f t="shared" si="0"/>
        <v>210</v>
      </c>
      <c r="B23" s="5">
        <v>1465</v>
      </c>
      <c r="C23" s="3">
        <f>_25[[#This Row],[Tension '[V']]]/1000</f>
        <v>1.4650000000000001</v>
      </c>
      <c r="D23" s="5">
        <v>0</v>
      </c>
      <c r="E23" s="15"/>
      <c r="F23" s="3">
        <f>_25[[#This Row],[Corriente '[mA']]]/1000</f>
        <v>0</v>
      </c>
      <c r="G23" s="5">
        <v>0</v>
      </c>
      <c r="H23" s="4">
        <f>_25[[#This Row],[Potencia '[mW']]]/100000</f>
        <v>0</v>
      </c>
      <c r="I23" s="5">
        <v>1</v>
      </c>
    </row>
    <row r="24" spans="1:9" x14ac:dyDescent="0.3">
      <c r="A24" s="1">
        <f t="shared" si="0"/>
        <v>220</v>
      </c>
      <c r="B24" s="5">
        <v>1470</v>
      </c>
      <c r="C24" s="3">
        <f>_25[[#This Row],[Tension '[V']]]/1000</f>
        <v>1.47</v>
      </c>
      <c r="D24" s="5">
        <v>0</v>
      </c>
      <c r="E24" s="15"/>
      <c r="F24" s="3">
        <f>_25[[#This Row],[Corriente '[mA']]]/1000</f>
        <v>0</v>
      </c>
      <c r="G24" s="5">
        <v>0</v>
      </c>
      <c r="H24" s="4">
        <f>_25[[#This Row],[Potencia '[mW']]]/100000</f>
        <v>0</v>
      </c>
      <c r="I24" s="5">
        <v>1</v>
      </c>
    </row>
    <row r="25" spans="1:9" x14ac:dyDescent="0.3">
      <c r="A25" s="1">
        <f t="shared" si="0"/>
        <v>230</v>
      </c>
      <c r="B25" s="5">
        <v>1474</v>
      </c>
      <c r="C25" s="3">
        <f>_25[[#This Row],[Tension '[V']]]/1000</f>
        <v>1.474</v>
      </c>
      <c r="D25" s="5">
        <v>0</v>
      </c>
      <c r="E25" s="15"/>
      <c r="F25" s="3">
        <f>_25[[#This Row],[Corriente '[mA']]]/1000</f>
        <v>0</v>
      </c>
      <c r="G25" s="5">
        <v>0</v>
      </c>
      <c r="H25" s="4">
        <f>_25[[#This Row],[Potencia '[mW']]]/100000</f>
        <v>0</v>
      </c>
      <c r="I25" s="5">
        <v>0</v>
      </c>
    </row>
    <row r="26" spans="1:9" x14ac:dyDescent="0.3">
      <c r="A26" s="1">
        <f t="shared" si="0"/>
        <v>240</v>
      </c>
      <c r="B26" s="5">
        <v>1206</v>
      </c>
      <c r="C26" s="3">
        <f>_25[[#This Row],[Tension '[V']]]/1000</f>
        <v>1.206</v>
      </c>
      <c r="D26" s="5">
        <v>402263</v>
      </c>
      <c r="E26" s="16">
        <f>(C25-C26)/(F26/1000)</f>
        <v>0.66623079925322493</v>
      </c>
      <c r="F26" s="3">
        <f>_25[[#This Row],[Corriente '[mA']]]/1000</f>
        <v>402.26299999999998</v>
      </c>
      <c r="G26" s="5">
        <v>48561016</v>
      </c>
      <c r="H26" s="4">
        <f>_25[[#This Row],[Potencia '[mW']]]/100000</f>
        <v>485.61016000000001</v>
      </c>
      <c r="I26" s="5">
        <v>0</v>
      </c>
    </row>
    <row r="27" spans="1:9" x14ac:dyDescent="0.3">
      <c r="A27" s="1">
        <f t="shared" si="0"/>
        <v>250</v>
      </c>
      <c r="B27" s="5">
        <v>1196</v>
      </c>
      <c r="C27" s="3">
        <f>_25[[#This Row],[Tension '[V']]]/1000</f>
        <v>1.196</v>
      </c>
      <c r="D27" s="5">
        <v>398913</v>
      </c>
      <c r="E27" s="15"/>
      <c r="F27" s="3">
        <f>_25[[#This Row],[Corriente '[mA']]]/1000</f>
        <v>398.91300000000001</v>
      </c>
      <c r="G27" s="5">
        <v>47748541</v>
      </c>
      <c r="H27" s="4">
        <f>_25[[#This Row],[Potencia '[mW']]]/100000</f>
        <v>477.48541</v>
      </c>
      <c r="I27" s="5">
        <v>0</v>
      </c>
    </row>
    <row r="28" spans="1:9" x14ac:dyDescent="0.3">
      <c r="A28" s="1">
        <f t="shared" si="0"/>
        <v>260</v>
      </c>
      <c r="B28" s="5">
        <v>1189</v>
      </c>
      <c r="C28" s="3">
        <f>_25[[#This Row],[Tension '[V']]]/1000</f>
        <v>1.1890000000000001</v>
      </c>
      <c r="D28" s="5">
        <v>396638</v>
      </c>
      <c r="E28" s="15"/>
      <c r="F28" s="3">
        <f>_25[[#This Row],[Corriente '[mA']]]/1000</f>
        <v>396.63799999999998</v>
      </c>
      <c r="G28" s="5">
        <v>47123562</v>
      </c>
      <c r="H28" s="4">
        <f>_25[[#This Row],[Potencia '[mW']]]/100000</f>
        <v>471.23561999999998</v>
      </c>
      <c r="I28" s="5">
        <v>0</v>
      </c>
    </row>
    <row r="29" spans="1:9" x14ac:dyDescent="0.3">
      <c r="A29" s="1">
        <f t="shared" si="0"/>
        <v>270</v>
      </c>
      <c r="B29" s="5">
        <v>1184</v>
      </c>
      <c r="C29" s="3">
        <f>_25[[#This Row],[Tension '[V']]]/1000</f>
        <v>1.1839999999999999</v>
      </c>
      <c r="D29" s="5">
        <v>394888</v>
      </c>
      <c r="E29" s="15"/>
      <c r="F29" s="3">
        <f>_25[[#This Row],[Corriente '[mA']]]/1000</f>
        <v>394.88799999999998</v>
      </c>
      <c r="G29" s="5">
        <v>46686074</v>
      </c>
      <c r="H29" s="4">
        <f>_25[[#This Row],[Potencia '[mW']]]/100000</f>
        <v>466.86074000000002</v>
      </c>
      <c r="I29" s="5">
        <v>0</v>
      </c>
    </row>
    <row r="30" spans="1:9" x14ac:dyDescent="0.3">
      <c r="A30" s="1">
        <f t="shared" si="0"/>
        <v>280</v>
      </c>
      <c r="B30" s="5">
        <v>1179</v>
      </c>
      <c r="C30" s="3">
        <f>_25[[#This Row],[Tension '[V']]]/1000</f>
        <v>1.179</v>
      </c>
      <c r="D30" s="5">
        <v>393438</v>
      </c>
      <c r="E30" s="15"/>
      <c r="F30" s="3">
        <f>_25[[#This Row],[Corriente '[mA']]]/1000</f>
        <v>393.43799999999999</v>
      </c>
      <c r="G30" s="5">
        <v>46373583</v>
      </c>
      <c r="H30" s="4">
        <f>_25[[#This Row],[Potencia '[mW']]]/100000</f>
        <v>463.73583000000002</v>
      </c>
      <c r="I30" s="5">
        <v>0</v>
      </c>
    </row>
    <row r="31" spans="1:9" x14ac:dyDescent="0.3">
      <c r="A31" s="1">
        <f t="shared" si="0"/>
        <v>290</v>
      </c>
      <c r="B31" s="5">
        <v>1175</v>
      </c>
      <c r="C31" s="3">
        <f>_25[[#This Row],[Tension '[V']]]/1000</f>
        <v>1.175</v>
      </c>
      <c r="D31" s="5">
        <v>392113</v>
      </c>
      <c r="E31" s="15"/>
      <c r="F31" s="3">
        <f>_25[[#This Row],[Corriente '[mA']]]/1000</f>
        <v>392.113</v>
      </c>
      <c r="G31" s="5">
        <v>46061093</v>
      </c>
      <c r="H31" s="4">
        <f>_25[[#This Row],[Potencia '[mW']]]/100000</f>
        <v>460.61093</v>
      </c>
      <c r="I31" s="5">
        <v>0</v>
      </c>
    </row>
    <row r="32" spans="1:9" x14ac:dyDescent="0.3">
      <c r="A32" s="1">
        <f t="shared" si="0"/>
        <v>300</v>
      </c>
      <c r="B32" s="5">
        <v>1172</v>
      </c>
      <c r="C32" s="3">
        <f>_25[[#This Row],[Tension '[V']]]/1000</f>
        <v>1.1719999999999999</v>
      </c>
      <c r="D32" s="5">
        <v>390988</v>
      </c>
      <c r="E32" s="15"/>
      <c r="F32" s="3">
        <f>_25[[#This Row],[Corriente '[mA']]]/1000</f>
        <v>390.988</v>
      </c>
      <c r="G32" s="5">
        <v>45811102</v>
      </c>
      <c r="H32" s="4">
        <f>_25[[#This Row],[Potencia '[mW']]]/100000</f>
        <v>458.11102</v>
      </c>
      <c r="I32" s="5">
        <v>0</v>
      </c>
    </row>
    <row r="33" spans="1:9" x14ac:dyDescent="0.3">
      <c r="A33" s="1">
        <f t="shared" si="0"/>
        <v>310</v>
      </c>
      <c r="B33" s="5">
        <v>1169</v>
      </c>
      <c r="C33" s="3">
        <f>_25[[#This Row],[Tension '[V']]]/1000</f>
        <v>1.169</v>
      </c>
      <c r="D33" s="5">
        <v>389888</v>
      </c>
      <c r="E33" s="15"/>
      <c r="F33" s="3">
        <f>_25[[#This Row],[Corriente '[mA']]]/1000</f>
        <v>389.88799999999998</v>
      </c>
      <c r="G33" s="5">
        <v>45561108</v>
      </c>
      <c r="H33" s="4">
        <f>_25[[#This Row],[Potencia '[mW']]]/100000</f>
        <v>455.61108000000002</v>
      </c>
      <c r="I33" s="5">
        <v>0</v>
      </c>
    </row>
    <row r="34" spans="1:9" x14ac:dyDescent="0.3">
      <c r="A34" s="1">
        <f t="shared" si="0"/>
        <v>320</v>
      </c>
      <c r="B34" s="5">
        <v>1166</v>
      </c>
      <c r="C34" s="3">
        <f>_25[[#This Row],[Tension '[V']]]/1000</f>
        <v>1.1659999999999999</v>
      </c>
      <c r="D34" s="5">
        <v>388913</v>
      </c>
      <c r="E34" s="15"/>
      <c r="F34" s="3">
        <f>_25[[#This Row],[Corriente '[mA']]]/1000</f>
        <v>388.91300000000001</v>
      </c>
      <c r="G34" s="5">
        <v>45311117</v>
      </c>
      <c r="H34" s="4">
        <f>_25[[#This Row],[Potencia '[mW']]]/100000</f>
        <v>453.11117000000002</v>
      </c>
      <c r="I34" s="5">
        <v>0</v>
      </c>
    </row>
    <row r="35" spans="1:9" x14ac:dyDescent="0.3">
      <c r="A35" s="1">
        <f t="shared" si="0"/>
        <v>330</v>
      </c>
      <c r="B35" s="5">
        <v>1162</v>
      </c>
      <c r="C35" s="3">
        <f>_25[[#This Row],[Tension '[V']]]/1000</f>
        <v>1.1619999999999999</v>
      </c>
      <c r="D35" s="5">
        <v>388013</v>
      </c>
      <c r="E35" s="15"/>
      <c r="F35" s="3">
        <f>_25[[#This Row],[Corriente '[mA']]]/1000</f>
        <v>388.01299999999998</v>
      </c>
      <c r="G35" s="5">
        <v>45061123</v>
      </c>
      <c r="H35" s="4">
        <f>_25[[#This Row],[Potencia '[mW']]]/100000</f>
        <v>450.61122999999998</v>
      </c>
      <c r="I35" s="5">
        <v>0</v>
      </c>
    </row>
    <row r="36" spans="1:9" x14ac:dyDescent="0.3">
      <c r="A36" s="1">
        <f t="shared" si="0"/>
        <v>340</v>
      </c>
      <c r="B36" s="5">
        <v>1160</v>
      </c>
      <c r="C36" s="3">
        <f>_25[[#This Row],[Tension '[V']]]/1000</f>
        <v>1.1599999999999999</v>
      </c>
      <c r="D36" s="5">
        <v>387138</v>
      </c>
      <c r="E36" s="15"/>
      <c r="F36" s="3">
        <f>_25[[#This Row],[Corriente '[mA']]]/1000</f>
        <v>387.13799999999998</v>
      </c>
      <c r="G36" s="5">
        <v>44936129</v>
      </c>
      <c r="H36" s="4">
        <f>_25[[#This Row],[Potencia '[mW']]]/100000</f>
        <v>449.36129</v>
      </c>
      <c r="I36" s="5">
        <v>0</v>
      </c>
    </row>
    <row r="37" spans="1:9" x14ac:dyDescent="0.3">
      <c r="A37" s="1">
        <f t="shared" si="0"/>
        <v>350</v>
      </c>
      <c r="B37" s="5">
        <v>1157</v>
      </c>
      <c r="C37" s="3">
        <f>_25[[#This Row],[Tension '[V']]]/1000</f>
        <v>1.157</v>
      </c>
      <c r="D37" s="5">
        <v>386288</v>
      </c>
      <c r="E37" s="15"/>
      <c r="F37" s="3">
        <f>_25[[#This Row],[Corriente '[mA']]]/1000</f>
        <v>386.28800000000001</v>
      </c>
      <c r="G37" s="5">
        <v>44748632</v>
      </c>
      <c r="H37" s="4">
        <f>_25[[#This Row],[Potencia '[mW']]]/100000</f>
        <v>447.48631999999998</v>
      </c>
      <c r="I37" s="5">
        <v>0</v>
      </c>
    </row>
    <row r="38" spans="1:9" x14ac:dyDescent="0.3">
      <c r="A38" s="1">
        <f t="shared" si="0"/>
        <v>360</v>
      </c>
      <c r="B38" s="5">
        <v>1155</v>
      </c>
      <c r="C38" s="3">
        <f>_25[[#This Row],[Tension '[V']]]/1000</f>
        <v>1.155</v>
      </c>
      <c r="D38" s="5">
        <v>385488</v>
      </c>
      <c r="E38" s="15"/>
      <c r="F38" s="3">
        <f>_25[[#This Row],[Corriente '[mA']]]/1000</f>
        <v>385.488</v>
      </c>
      <c r="G38" s="5">
        <v>44561138</v>
      </c>
      <c r="H38" s="4">
        <f>_25[[#This Row],[Potencia '[mW']]]/100000</f>
        <v>445.61138</v>
      </c>
      <c r="I38" s="5">
        <v>0</v>
      </c>
    </row>
    <row r="39" spans="1:9" x14ac:dyDescent="0.3">
      <c r="A39" s="1">
        <f t="shared" si="0"/>
        <v>370</v>
      </c>
      <c r="B39" s="5">
        <v>1154</v>
      </c>
      <c r="C39" s="3">
        <f>_25[[#This Row],[Tension '[V']]]/1000</f>
        <v>1.1539999999999999</v>
      </c>
      <c r="D39" s="5">
        <v>384663</v>
      </c>
      <c r="E39" s="15"/>
      <c r="F39" s="3">
        <f>_25[[#This Row],[Corriente '[mA']]]/1000</f>
        <v>384.66300000000001</v>
      </c>
      <c r="G39" s="5">
        <v>44311148</v>
      </c>
      <c r="H39" s="4">
        <f>_25[[#This Row],[Potencia '[mW']]]/100000</f>
        <v>443.11147999999997</v>
      </c>
      <c r="I39" s="5">
        <v>0</v>
      </c>
    </row>
    <row r="40" spans="1:9" x14ac:dyDescent="0.3">
      <c r="A40" s="1">
        <f t="shared" si="0"/>
        <v>380</v>
      </c>
      <c r="B40" s="5">
        <v>1147</v>
      </c>
      <c r="C40" s="3">
        <f>_25[[#This Row],[Tension '[V']]]/1000</f>
        <v>1.147</v>
      </c>
      <c r="D40" s="5">
        <v>383913</v>
      </c>
      <c r="E40" s="15"/>
      <c r="F40" s="3">
        <f>_25[[#This Row],[Corriente '[mA']]]/1000</f>
        <v>383.91300000000001</v>
      </c>
      <c r="G40" s="5">
        <v>44061154</v>
      </c>
      <c r="H40" s="4">
        <f>_25[[#This Row],[Potencia '[mW']]]/100000</f>
        <v>440.61153999999999</v>
      </c>
      <c r="I40" s="5">
        <v>0</v>
      </c>
    </row>
    <row r="41" spans="1:9" x14ac:dyDescent="0.3">
      <c r="A41" s="1">
        <f t="shared" si="0"/>
        <v>390</v>
      </c>
      <c r="B41" s="5">
        <v>1146</v>
      </c>
      <c r="C41" s="3">
        <f>_25[[#This Row],[Tension '[V']]]/1000</f>
        <v>1.1459999999999999</v>
      </c>
      <c r="D41" s="5">
        <v>383163</v>
      </c>
      <c r="E41" s="15"/>
      <c r="F41" s="3">
        <f>_25[[#This Row],[Corriente '[mA']]]/1000</f>
        <v>383.16300000000001</v>
      </c>
      <c r="G41" s="5">
        <v>43936160</v>
      </c>
      <c r="H41" s="4">
        <f>_25[[#This Row],[Potencia '[mW']]]/100000</f>
        <v>439.36160000000001</v>
      </c>
      <c r="I41" s="5">
        <v>0</v>
      </c>
    </row>
    <row r="42" spans="1:9" x14ac:dyDescent="0.3">
      <c r="A42" s="1">
        <f t="shared" si="0"/>
        <v>400</v>
      </c>
      <c r="B42" s="5">
        <v>1144</v>
      </c>
      <c r="C42" s="3">
        <f>_25[[#This Row],[Tension '[V']]]/1000</f>
        <v>1.1439999999999999</v>
      </c>
      <c r="D42" s="5">
        <v>382513</v>
      </c>
      <c r="E42" s="15"/>
      <c r="F42" s="3">
        <f>_25[[#This Row],[Corriente '[mA']]]/1000</f>
        <v>382.51299999999998</v>
      </c>
      <c r="G42" s="5">
        <v>43748663</v>
      </c>
      <c r="H42" s="4">
        <f>_25[[#This Row],[Potencia '[mW']]]/100000</f>
        <v>437.48662999999999</v>
      </c>
      <c r="I42" s="5">
        <v>0</v>
      </c>
    </row>
    <row r="43" spans="1:9" x14ac:dyDescent="0.3">
      <c r="A43" s="1">
        <f t="shared" si="0"/>
        <v>410</v>
      </c>
      <c r="B43" s="5">
        <v>1141</v>
      </c>
      <c r="C43" s="3">
        <f>_25[[#This Row],[Tension '[V']]]/1000</f>
        <v>1.141</v>
      </c>
      <c r="D43" s="5">
        <v>381963</v>
      </c>
      <c r="E43" s="16">
        <f>(C44-C43)/(F43/1000)</f>
        <v>0.68069420336524744</v>
      </c>
      <c r="F43" s="3">
        <f>_25[[#This Row],[Corriente '[mA']]]/1000</f>
        <v>381.96300000000002</v>
      </c>
      <c r="G43" s="5">
        <v>43623669</v>
      </c>
      <c r="H43" s="4">
        <f>_25[[#This Row],[Potencia '[mW']]]/100000</f>
        <v>436.23669000000001</v>
      </c>
      <c r="I43" s="5">
        <v>1</v>
      </c>
    </row>
    <row r="44" spans="1:9" x14ac:dyDescent="0.3">
      <c r="A44" s="1">
        <f t="shared" si="0"/>
        <v>420</v>
      </c>
      <c r="B44" s="5">
        <v>1401</v>
      </c>
      <c r="C44" s="3">
        <f>_25[[#This Row],[Tension '[V']]]/1000</f>
        <v>1.401</v>
      </c>
      <c r="D44" s="5">
        <v>0</v>
      </c>
      <c r="E44" s="15"/>
      <c r="F44" s="3">
        <f>_25[[#This Row],[Corriente '[mA']]]/1000</f>
        <v>0</v>
      </c>
      <c r="G44" s="5">
        <v>0</v>
      </c>
      <c r="H44" s="4">
        <f>_25[[#This Row],[Potencia '[mW']]]/100000</f>
        <v>0</v>
      </c>
      <c r="I44" s="5">
        <v>1</v>
      </c>
    </row>
    <row r="45" spans="1:9" x14ac:dyDescent="0.3">
      <c r="A45" s="1">
        <f t="shared" si="0"/>
        <v>430</v>
      </c>
      <c r="B45" s="5">
        <v>1411</v>
      </c>
      <c r="C45" s="3">
        <f>_25[[#This Row],[Tension '[V']]]/1000</f>
        <v>1.411</v>
      </c>
      <c r="D45" s="5">
        <v>0</v>
      </c>
      <c r="E45" s="15"/>
      <c r="F45" s="3">
        <f>_25[[#This Row],[Corriente '[mA']]]/1000</f>
        <v>0</v>
      </c>
      <c r="G45" s="5">
        <v>0</v>
      </c>
      <c r="H45" s="4">
        <f>_25[[#This Row],[Potencia '[mW']]]/100000</f>
        <v>0</v>
      </c>
      <c r="I45" s="5">
        <v>1</v>
      </c>
    </row>
    <row r="46" spans="1:9" x14ac:dyDescent="0.3">
      <c r="A46" s="1">
        <f t="shared" si="0"/>
        <v>440</v>
      </c>
      <c r="B46" s="5">
        <v>1419</v>
      </c>
      <c r="C46" s="3">
        <f>_25[[#This Row],[Tension '[V']]]/1000</f>
        <v>1.419</v>
      </c>
      <c r="D46" s="5">
        <v>0</v>
      </c>
      <c r="E46" s="15"/>
      <c r="F46" s="3">
        <f>_25[[#This Row],[Corriente '[mA']]]/1000</f>
        <v>0</v>
      </c>
      <c r="G46" s="5">
        <v>0</v>
      </c>
      <c r="H46" s="4">
        <f>_25[[#This Row],[Potencia '[mW']]]/100000</f>
        <v>0</v>
      </c>
      <c r="I46" s="5">
        <v>1</v>
      </c>
    </row>
    <row r="47" spans="1:9" x14ac:dyDescent="0.3">
      <c r="A47" s="1">
        <f t="shared" si="0"/>
        <v>450</v>
      </c>
      <c r="B47" s="5">
        <v>1424</v>
      </c>
      <c r="C47" s="3">
        <f>_25[[#This Row],[Tension '[V']]]/1000</f>
        <v>1.4239999999999999</v>
      </c>
      <c r="D47" s="5">
        <v>0</v>
      </c>
      <c r="E47" s="15"/>
      <c r="F47" s="3">
        <f>_25[[#This Row],[Corriente '[mA']]]/1000</f>
        <v>0</v>
      </c>
      <c r="G47" s="5">
        <v>0</v>
      </c>
      <c r="H47" s="4">
        <f>_25[[#This Row],[Potencia '[mW']]]/100000</f>
        <v>0</v>
      </c>
      <c r="I47" s="5">
        <v>1</v>
      </c>
    </row>
    <row r="48" spans="1:9" x14ac:dyDescent="0.3">
      <c r="A48" s="1">
        <f t="shared" si="0"/>
        <v>460</v>
      </c>
      <c r="B48" s="5">
        <v>1427</v>
      </c>
      <c r="C48" s="3">
        <f>_25[[#This Row],[Tension '[V']]]/1000</f>
        <v>1.427</v>
      </c>
      <c r="D48" s="5">
        <v>0</v>
      </c>
      <c r="E48" s="15"/>
      <c r="F48" s="3">
        <f>_25[[#This Row],[Corriente '[mA']]]/1000</f>
        <v>0</v>
      </c>
      <c r="G48" s="5">
        <v>0</v>
      </c>
      <c r="H48" s="4">
        <f>_25[[#This Row],[Potencia '[mW']]]/100000</f>
        <v>0</v>
      </c>
      <c r="I48" s="5">
        <v>1</v>
      </c>
    </row>
    <row r="49" spans="1:9" x14ac:dyDescent="0.3">
      <c r="A49" s="1">
        <f t="shared" si="0"/>
        <v>470</v>
      </c>
      <c r="B49" s="5">
        <v>1430</v>
      </c>
      <c r="C49" s="3">
        <f>_25[[#This Row],[Tension '[V']]]/1000</f>
        <v>1.43</v>
      </c>
      <c r="D49" s="5">
        <v>0</v>
      </c>
      <c r="E49" s="15"/>
      <c r="F49" s="3">
        <f>_25[[#This Row],[Corriente '[mA']]]/1000</f>
        <v>0</v>
      </c>
      <c r="G49" s="5">
        <v>0</v>
      </c>
      <c r="H49" s="4">
        <f>_25[[#This Row],[Potencia '[mW']]]/100000</f>
        <v>0</v>
      </c>
      <c r="I49" s="5">
        <v>0</v>
      </c>
    </row>
    <row r="50" spans="1:9" x14ac:dyDescent="0.3">
      <c r="A50" s="1">
        <f t="shared" si="0"/>
        <v>480</v>
      </c>
      <c r="B50" s="5">
        <v>1166</v>
      </c>
      <c r="C50" s="3">
        <f>_25[[#This Row],[Tension '[V']]]/1000</f>
        <v>1.1659999999999999</v>
      </c>
      <c r="D50" s="5">
        <v>389413</v>
      </c>
      <c r="E50" s="16">
        <f>(C49-C50)/(F50/1000)</f>
        <v>0.67794346875938916</v>
      </c>
      <c r="F50" s="3">
        <f>_25[[#This Row],[Corriente '[mA']]]/1000</f>
        <v>389.41300000000001</v>
      </c>
      <c r="G50" s="5">
        <v>45373614</v>
      </c>
      <c r="H50" s="4">
        <f>_25[[#This Row],[Potencia '[mW']]]/100000</f>
        <v>453.73613999999998</v>
      </c>
      <c r="I50" s="5">
        <v>0</v>
      </c>
    </row>
    <row r="51" spans="1:9" x14ac:dyDescent="0.3">
      <c r="A51" s="1">
        <f t="shared" si="0"/>
        <v>490</v>
      </c>
      <c r="B51" s="5">
        <v>1157</v>
      </c>
      <c r="C51" s="3">
        <f>_25[[#This Row],[Tension '[V']]]/1000</f>
        <v>1.157</v>
      </c>
      <c r="D51" s="5">
        <v>386413</v>
      </c>
      <c r="E51" s="15"/>
      <c r="F51" s="3">
        <f>_25[[#This Row],[Corriente '[mA']]]/1000</f>
        <v>386.41300000000001</v>
      </c>
      <c r="G51" s="5">
        <v>44686135</v>
      </c>
      <c r="H51" s="4">
        <f>_25[[#This Row],[Potencia '[mW']]]/100000</f>
        <v>446.86135000000002</v>
      </c>
      <c r="I51" s="5">
        <v>0</v>
      </c>
    </row>
    <row r="52" spans="1:9" x14ac:dyDescent="0.3">
      <c r="A52" s="1">
        <f t="shared" si="0"/>
        <v>500</v>
      </c>
      <c r="B52" s="5">
        <v>1150</v>
      </c>
      <c r="C52" s="3">
        <f>_25[[#This Row],[Tension '[V']]]/1000</f>
        <v>1.1499999999999999</v>
      </c>
      <c r="D52" s="5">
        <v>384438</v>
      </c>
      <c r="E52" s="15"/>
      <c r="F52" s="3">
        <f>_25[[#This Row],[Corriente '[mA']]]/1000</f>
        <v>384.43799999999999</v>
      </c>
      <c r="G52" s="5">
        <v>44248651</v>
      </c>
      <c r="H52" s="4">
        <f>_25[[#This Row],[Potencia '[mW']]]/100000</f>
        <v>442.48651000000001</v>
      </c>
      <c r="I52" s="5">
        <v>0</v>
      </c>
    </row>
    <row r="53" spans="1:9" x14ac:dyDescent="0.3">
      <c r="A53" s="1">
        <f t="shared" si="0"/>
        <v>510</v>
      </c>
      <c r="B53" s="5">
        <v>1146</v>
      </c>
      <c r="C53" s="3">
        <f>_25[[#This Row],[Tension '[V']]]/1000</f>
        <v>1.1459999999999999</v>
      </c>
      <c r="D53" s="5">
        <v>382963</v>
      </c>
      <c r="E53" s="15"/>
      <c r="F53" s="3">
        <f>_25[[#This Row],[Corriente '[mA']]]/1000</f>
        <v>382.96300000000002</v>
      </c>
      <c r="G53" s="5">
        <v>43936160</v>
      </c>
      <c r="H53" s="4">
        <f>_25[[#This Row],[Potencia '[mW']]]/100000</f>
        <v>439.36160000000001</v>
      </c>
      <c r="I53" s="5">
        <v>0</v>
      </c>
    </row>
    <row r="54" spans="1:9" x14ac:dyDescent="0.3">
      <c r="A54" s="1">
        <f t="shared" si="0"/>
        <v>520</v>
      </c>
      <c r="B54" s="5">
        <v>1142</v>
      </c>
      <c r="C54" s="3">
        <f>_25[[#This Row],[Tension '[V']]]/1000</f>
        <v>1.1419999999999999</v>
      </c>
      <c r="D54" s="5">
        <v>381738</v>
      </c>
      <c r="E54" s="15"/>
      <c r="F54" s="3">
        <f>_25[[#This Row],[Corriente '[mA']]]/1000</f>
        <v>381.738</v>
      </c>
      <c r="G54" s="5">
        <v>43623669</v>
      </c>
      <c r="H54" s="4">
        <f>_25[[#This Row],[Potencia '[mW']]]/100000</f>
        <v>436.23669000000001</v>
      </c>
      <c r="I54" s="5">
        <v>0</v>
      </c>
    </row>
    <row r="55" spans="1:9" x14ac:dyDescent="0.3">
      <c r="A55" s="1">
        <f t="shared" si="0"/>
        <v>530</v>
      </c>
      <c r="B55" s="5">
        <v>1140</v>
      </c>
      <c r="C55" s="3">
        <f>_25[[#This Row],[Tension '[V']]]/1000</f>
        <v>1.1399999999999999</v>
      </c>
      <c r="D55" s="5">
        <v>380838</v>
      </c>
      <c r="E55" s="15"/>
      <c r="F55" s="3">
        <f>_25[[#This Row],[Corriente '[mA']]]/1000</f>
        <v>380.83800000000002</v>
      </c>
      <c r="G55" s="5">
        <v>43436175</v>
      </c>
      <c r="H55" s="4">
        <f>_25[[#This Row],[Potencia '[mW']]]/100000</f>
        <v>434.36174999999997</v>
      </c>
      <c r="I55" s="5">
        <v>0</v>
      </c>
    </row>
    <row r="56" spans="1:9" x14ac:dyDescent="0.3">
      <c r="A56" s="1">
        <f t="shared" si="0"/>
        <v>540</v>
      </c>
      <c r="B56" s="5">
        <v>1137</v>
      </c>
      <c r="C56" s="3">
        <f>_25[[#This Row],[Tension '[V']]]/1000</f>
        <v>1.137</v>
      </c>
      <c r="D56" s="5">
        <v>379913</v>
      </c>
      <c r="E56" s="15"/>
      <c r="F56" s="3">
        <f>_25[[#This Row],[Corriente '[mA']]]/1000</f>
        <v>379.91300000000001</v>
      </c>
      <c r="G56" s="5">
        <v>43186181</v>
      </c>
      <c r="H56" s="4">
        <f>_25[[#This Row],[Potencia '[mW']]]/100000</f>
        <v>431.86180999999999</v>
      </c>
      <c r="I56" s="5">
        <v>0</v>
      </c>
    </row>
    <row r="57" spans="1:9" x14ac:dyDescent="0.3">
      <c r="A57" s="1">
        <f t="shared" si="0"/>
        <v>550</v>
      </c>
      <c r="B57" s="5">
        <v>1135</v>
      </c>
      <c r="C57" s="3">
        <f>_25[[#This Row],[Tension '[V']]]/1000</f>
        <v>1.135</v>
      </c>
      <c r="D57" s="5">
        <v>379088</v>
      </c>
      <c r="E57" s="15"/>
      <c r="F57" s="3">
        <f>_25[[#This Row],[Corriente '[mA']]]/1000</f>
        <v>379.08800000000002</v>
      </c>
      <c r="G57" s="5">
        <v>42998687</v>
      </c>
      <c r="H57" s="4">
        <f>_25[[#This Row],[Potencia '[mW']]]/100000</f>
        <v>429.98687000000001</v>
      </c>
      <c r="I57" s="5">
        <v>0</v>
      </c>
    </row>
    <row r="58" spans="1:9" x14ac:dyDescent="0.3">
      <c r="A58" s="1">
        <f t="shared" si="0"/>
        <v>560</v>
      </c>
      <c r="B58" s="5">
        <v>1132</v>
      </c>
      <c r="C58" s="3">
        <f>_25[[#This Row],[Tension '[V']]]/1000</f>
        <v>1.1319999999999999</v>
      </c>
      <c r="D58" s="5">
        <v>378313</v>
      </c>
      <c r="E58" s="15"/>
      <c r="F58" s="3">
        <f>_25[[#This Row],[Corriente '[mA']]]/1000</f>
        <v>378.31299999999999</v>
      </c>
      <c r="G58" s="5">
        <v>42811193</v>
      </c>
      <c r="H58" s="4">
        <f>_25[[#This Row],[Potencia '[mW']]]/100000</f>
        <v>428.11192999999997</v>
      </c>
      <c r="I58" s="5">
        <v>0</v>
      </c>
    </row>
    <row r="59" spans="1:9" x14ac:dyDescent="0.3">
      <c r="A59" s="1">
        <f t="shared" si="0"/>
        <v>570</v>
      </c>
      <c r="B59" s="5">
        <v>1130</v>
      </c>
      <c r="C59" s="3">
        <f>_25[[#This Row],[Tension '[V']]]/1000</f>
        <v>1.1299999999999999</v>
      </c>
      <c r="D59" s="5">
        <v>377588</v>
      </c>
      <c r="E59" s="15"/>
      <c r="F59" s="3">
        <f>_25[[#This Row],[Corriente '[mA']]]/1000</f>
        <v>377.58800000000002</v>
      </c>
      <c r="G59" s="5">
        <v>42686196</v>
      </c>
      <c r="H59" s="4">
        <f>_25[[#This Row],[Potencia '[mW']]]/100000</f>
        <v>426.86196000000001</v>
      </c>
      <c r="I59" s="5">
        <v>0</v>
      </c>
    </row>
    <row r="60" spans="1:9" x14ac:dyDescent="0.3">
      <c r="A60" s="1">
        <f t="shared" si="0"/>
        <v>580</v>
      </c>
      <c r="B60" s="5">
        <v>1129</v>
      </c>
      <c r="C60" s="3">
        <f>_25[[#This Row],[Tension '[V']]]/1000</f>
        <v>1.129</v>
      </c>
      <c r="D60" s="5">
        <v>376938</v>
      </c>
      <c r="E60" s="15"/>
      <c r="F60" s="3">
        <f>_25[[#This Row],[Corriente '[mA']]]/1000</f>
        <v>376.93799999999999</v>
      </c>
      <c r="G60" s="5">
        <v>42498703</v>
      </c>
      <c r="H60" s="4">
        <f>_25[[#This Row],[Potencia '[mW']]]/100000</f>
        <v>424.98703</v>
      </c>
      <c r="I60" s="5">
        <v>0</v>
      </c>
    </row>
    <row r="61" spans="1:9" x14ac:dyDescent="0.3">
      <c r="A61" s="1">
        <f t="shared" si="0"/>
        <v>590</v>
      </c>
      <c r="B61" s="5">
        <v>1126</v>
      </c>
      <c r="C61" s="3">
        <f>_25[[#This Row],[Tension '[V']]]/1000</f>
        <v>1.1259999999999999</v>
      </c>
      <c r="D61" s="5">
        <v>376264</v>
      </c>
      <c r="E61" s="15"/>
      <c r="F61" s="3">
        <f>_25[[#This Row],[Corriente '[mA']]]/1000</f>
        <v>376.26400000000001</v>
      </c>
      <c r="G61" s="5">
        <v>42373706</v>
      </c>
      <c r="H61" s="4">
        <f>_25[[#This Row],[Potencia '[mW']]]/100000</f>
        <v>423.73705999999999</v>
      </c>
      <c r="I61" s="5">
        <v>0</v>
      </c>
    </row>
    <row r="62" spans="1:9" x14ac:dyDescent="0.3">
      <c r="A62" s="1">
        <f t="shared" si="0"/>
        <v>600</v>
      </c>
      <c r="B62" s="5">
        <v>1125</v>
      </c>
      <c r="C62" s="3">
        <f>_25[[#This Row],[Tension '[V']]]/1000</f>
        <v>1.125</v>
      </c>
      <c r="D62" s="5">
        <v>375639</v>
      </c>
      <c r="E62" s="15"/>
      <c r="F62" s="3">
        <f>_25[[#This Row],[Corriente '[mA']]]/1000</f>
        <v>375.63900000000001</v>
      </c>
      <c r="G62" s="5">
        <v>42248712</v>
      </c>
      <c r="H62" s="4">
        <f>_25[[#This Row],[Potencia '[mW']]]/100000</f>
        <v>422.48712</v>
      </c>
      <c r="I62" s="5">
        <v>0</v>
      </c>
    </row>
    <row r="63" spans="1:9" x14ac:dyDescent="0.3">
      <c r="A63" s="1">
        <f t="shared" si="0"/>
        <v>610</v>
      </c>
      <c r="B63" s="5">
        <v>1122</v>
      </c>
      <c r="C63" s="3">
        <f>_25[[#This Row],[Tension '[V']]]/1000</f>
        <v>1.1220000000000001</v>
      </c>
      <c r="D63" s="5">
        <v>375039</v>
      </c>
      <c r="E63" s="15"/>
      <c r="F63" s="3">
        <f>_25[[#This Row],[Corriente '[mA']]]/1000</f>
        <v>375.03899999999999</v>
      </c>
      <c r="G63" s="5">
        <v>42061215</v>
      </c>
      <c r="H63" s="4">
        <f>_25[[#This Row],[Potencia '[mW']]]/100000</f>
        <v>420.61214999999999</v>
      </c>
      <c r="I63" s="5">
        <v>0</v>
      </c>
    </row>
    <row r="64" spans="1:9" x14ac:dyDescent="0.3">
      <c r="A64" s="1">
        <f t="shared" si="0"/>
        <v>620</v>
      </c>
      <c r="B64" s="5">
        <v>1120</v>
      </c>
      <c r="C64" s="3">
        <f>_25[[#This Row],[Tension '[V']]]/1000</f>
        <v>1.1200000000000001</v>
      </c>
      <c r="D64" s="5">
        <v>374439</v>
      </c>
      <c r="E64" s="15"/>
      <c r="F64" s="3">
        <f>_25[[#This Row],[Corriente '[mA']]]/1000</f>
        <v>374.43900000000002</v>
      </c>
      <c r="G64" s="5">
        <v>41998718</v>
      </c>
      <c r="H64" s="4">
        <f>_25[[#This Row],[Potencia '[mW']]]/100000</f>
        <v>419.98718000000002</v>
      </c>
      <c r="I64" s="5">
        <v>0</v>
      </c>
    </row>
    <row r="65" spans="1:9" x14ac:dyDescent="0.3">
      <c r="A65" s="1">
        <f t="shared" si="0"/>
        <v>630</v>
      </c>
      <c r="B65" s="5">
        <v>1119</v>
      </c>
      <c r="C65" s="3">
        <f>_25[[#This Row],[Tension '[V']]]/1000</f>
        <v>1.119</v>
      </c>
      <c r="D65" s="5">
        <v>373864</v>
      </c>
      <c r="E65" s="15"/>
      <c r="F65" s="3">
        <f>_25[[#This Row],[Corriente '[mA']]]/1000</f>
        <v>373.86399999999998</v>
      </c>
      <c r="G65" s="5">
        <v>41748724</v>
      </c>
      <c r="H65" s="4">
        <f>_25[[#This Row],[Potencia '[mW']]]/100000</f>
        <v>417.48723999999999</v>
      </c>
      <c r="I65" s="5">
        <v>0</v>
      </c>
    </row>
    <row r="66" spans="1:9" x14ac:dyDescent="0.3">
      <c r="A66" s="1">
        <f t="shared" si="0"/>
        <v>640</v>
      </c>
      <c r="B66" s="5">
        <v>1117</v>
      </c>
      <c r="C66" s="3">
        <f>_25[[#This Row],[Tension '[V']]]/1000</f>
        <v>1.117</v>
      </c>
      <c r="D66" s="5">
        <v>373314</v>
      </c>
      <c r="E66" s="15"/>
      <c r="F66" s="3">
        <f>_25[[#This Row],[Corriente '[mA']]]/1000</f>
        <v>373.31400000000002</v>
      </c>
      <c r="G66" s="5">
        <v>41686227</v>
      </c>
      <c r="H66" s="4">
        <f>_25[[#This Row],[Potencia '[mW']]]/100000</f>
        <v>416.86227000000002</v>
      </c>
      <c r="I66" s="5">
        <v>0</v>
      </c>
    </row>
    <row r="67" spans="1:9" x14ac:dyDescent="0.3">
      <c r="A67" s="1">
        <f t="shared" si="0"/>
        <v>650</v>
      </c>
      <c r="B67" s="5">
        <v>1116</v>
      </c>
      <c r="C67" s="3">
        <f>_25[[#This Row],[Tension '[V']]]/1000</f>
        <v>1.1160000000000001</v>
      </c>
      <c r="D67" s="5">
        <v>372764</v>
      </c>
      <c r="E67" s="16">
        <f>(C68-C67)/(F67/1000)</f>
        <v>0.70017490959427386</v>
      </c>
      <c r="F67" s="3">
        <f>_25[[#This Row],[Corriente '[mA']]]/1000</f>
        <v>372.76400000000001</v>
      </c>
      <c r="G67" s="5">
        <v>41561230</v>
      </c>
      <c r="H67" s="4">
        <f>_25[[#This Row],[Potencia '[mW']]]/100000</f>
        <v>415.6123</v>
      </c>
      <c r="I67" s="5">
        <v>1</v>
      </c>
    </row>
    <row r="68" spans="1:9" x14ac:dyDescent="0.3">
      <c r="A68" s="1">
        <f t="shared" ref="A68:A88" si="2">A67+10</f>
        <v>660</v>
      </c>
      <c r="B68" s="5">
        <v>1377</v>
      </c>
      <c r="C68" s="3">
        <f>_25[[#This Row],[Tension '[V']]]/1000</f>
        <v>1.377</v>
      </c>
      <c r="D68" s="5">
        <v>0</v>
      </c>
      <c r="E68" s="15"/>
      <c r="F68" s="3">
        <f>_25[[#This Row],[Corriente '[mA']]]/1000</f>
        <v>0</v>
      </c>
      <c r="G68" s="5">
        <v>0</v>
      </c>
      <c r="H68" s="4">
        <f>_25[[#This Row],[Potencia '[mW']]]/100000</f>
        <v>0</v>
      </c>
      <c r="I68" s="5">
        <v>1</v>
      </c>
    </row>
    <row r="69" spans="1:9" x14ac:dyDescent="0.3">
      <c r="A69" s="1">
        <f t="shared" si="2"/>
        <v>670</v>
      </c>
      <c r="B69" s="5">
        <v>1387</v>
      </c>
      <c r="C69" s="3">
        <f>_25[[#This Row],[Tension '[V']]]/1000</f>
        <v>1.387</v>
      </c>
      <c r="D69" s="5">
        <v>0</v>
      </c>
      <c r="E69" s="15"/>
      <c r="F69" s="3">
        <f>_25[[#This Row],[Corriente '[mA']]]/1000</f>
        <v>0</v>
      </c>
      <c r="G69" s="5">
        <v>0</v>
      </c>
      <c r="H69" s="4">
        <f>_25[[#This Row],[Potencia '[mW']]]/100000</f>
        <v>0</v>
      </c>
      <c r="I69" s="5">
        <v>1</v>
      </c>
    </row>
    <row r="70" spans="1:9" x14ac:dyDescent="0.3">
      <c r="A70" s="1">
        <f t="shared" si="2"/>
        <v>680</v>
      </c>
      <c r="B70" s="5">
        <v>1395</v>
      </c>
      <c r="C70" s="3">
        <f>_25[[#This Row],[Tension '[V']]]/1000</f>
        <v>1.395</v>
      </c>
      <c r="D70" s="5">
        <v>0</v>
      </c>
      <c r="E70" s="15"/>
      <c r="F70" s="3">
        <f>_25[[#This Row],[Corriente '[mA']]]/1000</f>
        <v>0</v>
      </c>
      <c r="G70" s="5">
        <v>0</v>
      </c>
      <c r="H70" s="4">
        <f>_25[[#This Row],[Potencia '[mW']]]/100000</f>
        <v>0</v>
      </c>
      <c r="I70" s="5">
        <v>1</v>
      </c>
    </row>
    <row r="71" spans="1:9" x14ac:dyDescent="0.3">
      <c r="A71" s="1">
        <f t="shared" si="2"/>
        <v>690</v>
      </c>
      <c r="B71" s="5">
        <v>1400</v>
      </c>
      <c r="C71" s="3">
        <f>_25[[#This Row],[Tension '[V']]]/1000</f>
        <v>1.4</v>
      </c>
      <c r="D71" s="5">
        <v>0</v>
      </c>
      <c r="E71" s="15"/>
      <c r="F71" s="3">
        <f>_25[[#This Row],[Corriente '[mA']]]/1000</f>
        <v>0</v>
      </c>
      <c r="G71" s="5">
        <v>0</v>
      </c>
      <c r="H71" s="4">
        <f>_25[[#This Row],[Potencia '[mW']]]/100000</f>
        <v>0</v>
      </c>
      <c r="I71" s="5">
        <v>1</v>
      </c>
    </row>
    <row r="72" spans="1:9" x14ac:dyDescent="0.3">
      <c r="A72" s="1">
        <f t="shared" si="2"/>
        <v>700</v>
      </c>
      <c r="B72" s="5">
        <v>1404</v>
      </c>
      <c r="C72" s="3">
        <f>_25[[#This Row],[Tension '[V']]]/1000</f>
        <v>1.4039999999999999</v>
      </c>
      <c r="D72" s="5">
        <v>0</v>
      </c>
      <c r="E72" s="15"/>
      <c r="F72" s="3">
        <f>_25[[#This Row],[Corriente '[mA']]]/1000</f>
        <v>0</v>
      </c>
      <c r="G72" s="5">
        <v>0</v>
      </c>
      <c r="H72" s="4">
        <f>_25[[#This Row],[Potencia '[mW']]]/100000</f>
        <v>0</v>
      </c>
      <c r="I72" s="5">
        <v>1</v>
      </c>
    </row>
    <row r="73" spans="1:9" x14ac:dyDescent="0.3">
      <c r="A73" s="1">
        <f t="shared" si="2"/>
        <v>710</v>
      </c>
      <c r="B73" s="5">
        <v>1406</v>
      </c>
      <c r="C73" s="3">
        <f>_25[[#This Row],[Tension '[V']]]/1000</f>
        <v>1.4059999999999999</v>
      </c>
      <c r="D73" s="5">
        <v>0</v>
      </c>
      <c r="E73" s="15"/>
      <c r="F73" s="3">
        <f>_25[[#This Row],[Corriente '[mA']]]/1000</f>
        <v>0</v>
      </c>
      <c r="G73" s="5">
        <v>0</v>
      </c>
      <c r="H73" s="4">
        <f>_25[[#This Row],[Potencia '[mW']]]/100000</f>
        <v>0</v>
      </c>
      <c r="I73" s="5">
        <v>0</v>
      </c>
    </row>
    <row r="74" spans="1:9" x14ac:dyDescent="0.3">
      <c r="A74" s="1">
        <f t="shared" si="2"/>
        <v>720</v>
      </c>
      <c r="B74" s="5">
        <v>1139</v>
      </c>
      <c r="C74" s="3">
        <f>_25[[#This Row],[Tension '[V']]]/1000</f>
        <v>1.139</v>
      </c>
      <c r="D74" s="5">
        <v>380413</v>
      </c>
      <c r="E74" s="16">
        <f>(C73-C74)/(F74/1000)</f>
        <v>0.70186875842833951</v>
      </c>
      <c r="F74" s="3">
        <f>_25[[#This Row],[Corriente '[mA']]]/1000</f>
        <v>380.41300000000001</v>
      </c>
      <c r="G74" s="5">
        <v>43311178</v>
      </c>
      <c r="H74" s="4">
        <f>_25[[#This Row],[Potencia '[mW']]]/100000</f>
        <v>433.11178000000001</v>
      </c>
      <c r="I74" s="5">
        <v>0</v>
      </c>
    </row>
    <row r="75" spans="1:9" x14ac:dyDescent="0.3">
      <c r="A75" s="1">
        <f t="shared" si="2"/>
        <v>730</v>
      </c>
      <c r="B75" s="5">
        <v>1130</v>
      </c>
      <c r="C75" s="3">
        <f>_25[[#This Row],[Tension '[V']]]/1000</f>
        <v>1.1299999999999999</v>
      </c>
      <c r="D75" s="5">
        <v>377413</v>
      </c>
      <c r="E75" s="15"/>
      <c r="F75" s="3">
        <f>_25[[#This Row],[Corriente '[mA']]]/1000</f>
        <v>377.41300000000001</v>
      </c>
      <c r="G75" s="5">
        <v>42623699</v>
      </c>
      <c r="H75" s="4">
        <f>_25[[#This Row],[Potencia '[mW']]]/100000</f>
        <v>426.23698999999999</v>
      </c>
      <c r="I75" s="5">
        <v>0</v>
      </c>
    </row>
    <row r="76" spans="1:9" x14ac:dyDescent="0.3">
      <c r="A76" s="1">
        <f t="shared" si="2"/>
        <v>740</v>
      </c>
      <c r="B76" s="5">
        <v>1124</v>
      </c>
      <c r="C76" s="3">
        <f>_25[[#This Row],[Tension '[V']]]/1000</f>
        <v>1.1240000000000001</v>
      </c>
      <c r="D76" s="5">
        <v>375489</v>
      </c>
      <c r="E76" s="15"/>
      <c r="F76" s="3">
        <f>_25[[#This Row],[Corriente '[mA']]]/1000</f>
        <v>375.48899999999998</v>
      </c>
      <c r="G76" s="5">
        <v>42186212</v>
      </c>
      <c r="H76" s="4">
        <f>_25[[#This Row],[Potencia '[mW']]]/100000</f>
        <v>421.86212</v>
      </c>
      <c r="I76" s="5">
        <v>0</v>
      </c>
    </row>
    <row r="77" spans="1:9" x14ac:dyDescent="0.3">
      <c r="A77" s="1">
        <f t="shared" si="2"/>
        <v>750</v>
      </c>
      <c r="B77" s="5">
        <v>1120</v>
      </c>
      <c r="C77" s="3">
        <f>_25[[#This Row],[Tension '[V']]]/1000</f>
        <v>1.1200000000000001</v>
      </c>
      <c r="D77" s="5">
        <v>374064</v>
      </c>
      <c r="E77" s="15"/>
      <c r="F77" s="3">
        <f>_25[[#This Row],[Corriente '[mA']]]/1000</f>
        <v>374.06400000000002</v>
      </c>
      <c r="G77" s="5">
        <v>41873721</v>
      </c>
      <c r="H77" s="4">
        <f>_25[[#This Row],[Potencia '[mW']]]/100000</f>
        <v>418.73721</v>
      </c>
      <c r="I77" s="5">
        <v>0</v>
      </c>
    </row>
    <row r="78" spans="1:9" x14ac:dyDescent="0.3">
      <c r="A78" s="1">
        <f t="shared" si="2"/>
        <v>760</v>
      </c>
      <c r="B78" s="5">
        <v>1116</v>
      </c>
      <c r="C78" s="3">
        <f>_25[[#This Row],[Tension '[V']]]/1000</f>
        <v>1.1160000000000001</v>
      </c>
      <c r="D78" s="5">
        <v>372914</v>
      </c>
      <c r="E78" s="15"/>
      <c r="F78" s="3">
        <f>_25[[#This Row],[Corriente '[mA']]]/1000</f>
        <v>372.91399999999999</v>
      </c>
      <c r="G78" s="5">
        <v>41561230</v>
      </c>
      <c r="H78" s="4">
        <f>_25[[#This Row],[Potencia '[mW']]]/100000</f>
        <v>415.6123</v>
      </c>
      <c r="I78" s="5">
        <v>0</v>
      </c>
    </row>
    <row r="79" spans="1:9" x14ac:dyDescent="0.3">
      <c r="A79" s="1">
        <f t="shared" si="2"/>
        <v>770</v>
      </c>
      <c r="B79" s="5">
        <v>1114</v>
      </c>
      <c r="C79" s="3">
        <f>_25[[#This Row],[Tension '[V']]]/1000</f>
        <v>1.1140000000000001</v>
      </c>
      <c r="D79" s="5">
        <v>371939</v>
      </c>
      <c r="E79" s="15"/>
      <c r="F79" s="3">
        <f>_25[[#This Row],[Corriente '[mA']]]/1000</f>
        <v>371.93900000000002</v>
      </c>
      <c r="G79" s="5">
        <v>41373736</v>
      </c>
      <c r="H79" s="4">
        <f>_25[[#This Row],[Potencia '[mW']]]/100000</f>
        <v>413.73736000000002</v>
      </c>
      <c r="I79" s="5">
        <v>0</v>
      </c>
    </row>
    <row r="80" spans="1:9" x14ac:dyDescent="0.3">
      <c r="A80" s="1">
        <f t="shared" si="2"/>
        <v>780</v>
      </c>
      <c r="B80" s="5">
        <v>1111</v>
      </c>
      <c r="C80" s="3">
        <f>_25[[#This Row],[Tension '[V']]]/1000</f>
        <v>1.111</v>
      </c>
      <c r="D80" s="5">
        <v>371039</v>
      </c>
      <c r="E80" s="15"/>
      <c r="F80" s="3">
        <f>_25[[#This Row],[Corriente '[mA']]]/1000</f>
        <v>371.03899999999999</v>
      </c>
      <c r="G80" s="5">
        <v>41248742</v>
      </c>
      <c r="H80" s="4">
        <f>_25[[#This Row],[Potencia '[mW']]]/100000</f>
        <v>412.48741999999999</v>
      </c>
      <c r="I80" s="5">
        <v>0</v>
      </c>
    </row>
    <row r="81" spans="1:11" x14ac:dyDescent="0.3">
      <c r="A81" s="1">
        <f t="shared" si="2"/>
        <v>790</v>
      </c>
      <c r="B81" s="5">
        <v>1109</v>
      </c>
      <c r="C81" s="3">
        <f>_25[[#This Row],[Tension '[V']]]/1000</f>
        <v>1.109</v>
      </c>
      <c r="D81" s="5">
        <v>370239</v>
      </c>
      <c r="E81" s="15"/>
      <c r="F81" s="3">
        <f>_25[[#This Row],[Corriente '[mA']]]/1000</f>
        <v>370.23899999999998</v>
      </c>
      <c r="G81" s="5">
        <v>41061245</v>
      </c>
      <c r="H81" s="4">
        <f>_25[[#This Row],[Potencia '[mW']]]/100000</f>
        <v>410.61245000000002</v>
      </c>
      <c r="I81" s="5">
        <v>0</v>
      </c>
    </row>
    <row r="82" spans="1:11" x14ac:dyDescent="0.3">
      <c r="A82" s="1">
        <f t="shared" si="2"/>
        <v>800</v>
      </c>
      <c r="B82" s="5">
        <v>1106</v>
      </c>
      <c r="C82" s="3">
        <f>_25[[#This Row],[Tension '[V']]]/1000</f>
        <v>1.1060000000000001</v>
      </c>
      <c r="D82" s="5">
        <v>369539</v>
      </c>
      <c r="E82" s="15"/>
      <c r="F82" s="3">
        <f>_25[[#This Row],[Corriente '[mA']]]/1000</f>
        <v>369.53899999999999</v>
      </c>
      <c r="G82" s="5">
        <v>40873751</v>
      </c>
      <c r="H82" s="4">
        <f>_25[[#This Row],[Potencia '[mW']]]/100000</f>
        <v>408.73750999999999</v>
      </c>
      <c r="I82" s="5">
        <v>0</v>
      </c>
    </row>
    <row r="83" spans="1:11" x14ac:dyDescent="0.3">
      <c r="A83" s="1">
        <f t="shared" si="2"/>
        <v>810</v>
      </c>
      <c r="B83" s="5">
        <v>1104</v>
      </c>
      <c r="C83" s="3">
        <f>_25[[#This Row],[Tension '[V']]]/1000</f>
        <v>1.1040000000000001</v>
      </c>
      <c r="D83" s="5">
        <v>368839</v>
      </c>
      <c r="E83" s="15"/>
      <c r="F83" s="3">
        <f>_25[[#This Row],[Corriente '[mA']]]/1000</f>
        <v>368.839</v>
      </c>
      <c r="G83" s="5">
        <v>40748754</v>
      </c>
      <c r="H83" s="4">
        <f>_25[[#This Row],[Potencia '[mW']]]/100000</f>
        <v>407.48754000000002</v>
      </c>
      <c r="I83" s="5">
        <v>0</v>
      </c>
    </row>
    <row r="84" spans="1:11" x14ac:dyDescent="0.3">
      <c r="A84" s="1">
        <f t="shared" si="2"/>
        <v>820</v>
      </c>
      <c r="B84" s="5">
        <v>1102</v>
      </c>
      <c r="C84" s="3">
        <f>_25[[#This Row],[Tension '[V']]]/1000</f>
        <v>1.1020000000000001</v>
      </c>
      <c r="D84" s="5">
        <v>368214</v>
      </c>
      <c r="E84" s="15"/>
      <c r="F84" s="3">
        <f>_25[[#This Row],[Corriente '[mA']]]/1000</f>
        <v>368.214</v>
      </c>
      <c r="G84" s="5">
        <v>40561260</v>
      </c>
      <c r="H84" s="4">
        <f>_25[[#This Row],[Potencia '[mW']]]/100000</f>
        <v>405.61259999999999</v>
      </c>
      <c r="I84" s="5">
        <v>0</v>
      </c>
    </row>
    <row r="85" spans="1:11" x14ac:dyDescent="0.3">
      <c r="A85" s="1">
        <f t="shared" si="2"/>
        <v>830</v>
      </c>
      <c r="B85" s="5">
        <v>1100</v>
      </c>
      <c r="C85" s="3">
        <f>_25[[#This Row],[Tension '[V']]]/1000</f>
        <v>1.1000000000000001</v>
      </c>
      <c r="D85" s="5">
        <v>367589</v>
      </c>
      <c r="E85" s="15"/>
      <c r="F85" s="3">
        <f>_25[[#This Row],[Corriente '[mA']]]/1000</f>
        <v>367.589</v>
      </c>
      <c r="G85" s="5">
        <v>40436267</v>
      </c>
      <c r="H85" s="4">
        <f>_25[[#This Row],[Potencia '[mW']]]/100000</f>
        <v>404.36266999999998</v>
      </c>
      <c r="I85" s="5">
        <v>0</v>
      </c>
    </row>
    <row r="86" spans="1:11" x14ac:dyDescent="0.3">
      <c r="A86" s="6">
        <f t="shared" si="2"/>
        <v>840</v>
      </c>
      <c r="B86" s="7">
        <v>14062</v>
      </c>
      <c r="C86" s="8">
        <f>_25[[#This Row],[Tension '[V']]]/10000</f>
        <v>1.4061999999999999</v>
      </c>
      <c r="D86" s="7">
        <v>0</v>
      </c>
      <c r="E86" s="17"/>
      <c r="F86" s="8">
        <f>_25[[#This Row],[Corriente '[mA']]]/1000</f>
        <v>0</v>
      </c>
      <c r="G86" s="7">
        <v>0</v>
      </c>
      <c r="H86" s="9">
        <f>_25[[#This Row],[Potencia '[mW']]]/100000</f>
        <v>0</v>
      </c>
      <c r="I86" s="7">
        <v>0</v>
      </c>
    </row>
    <row r="87" spans="1:11" x14ac:dyDescent="0.3">
      <c r="A87" s="6">
        <f t="shared" si="2"/>
        <v>850</v>
      </c>
      <c r="B87" s="7">
        <v>14062</v>
      </c>
      <c r="C87" s="8">
        <f>_25[[#This Row],[Tension '[V']]]/10000</f>
        <v>1.4061999999999999</v>
      </c>
      <c r="D87" s="7">
        <v>0</v>
      </c>
      <c r="E87" s="17"/>
      <c r="F87" s="8">
        <f>_25[[#This Row],[Corriente '[mA']]]/1000</f>
        <v>0</v>
      </c>
      <c r="G87" s="7">
        <v>0</v>
      </c>
      <c r="H87" s="9">
        <f>_25[[#This Row],[Potencia '[mW']]]/100000</f>
        <v>0</v>
      </c>
      <c r="I87" s="7">
        <v>0</v>
      </c>
    </row>
    <row r="88" spans="1:11" x14ac:dyDescent="0.3">
      <c r="A88" s="6">
        <f t="shared" si="2"/>
        <v>860</v>
      </c>
      <c r="B88" s="7">
        <v>14062</v>
      </c>
      <c r="C88" s="8">
        <f>_25[[#This Row],[Tension '[V']]]/10000</f>
        <v>1.4061999999999999</v>
      </c>
      <c r="D88" s="7">
        <v>0</v>
      </c>
      <c r="E88" s="17"/>
      <c r="F88" s="8">
        <f>_25[[#This Row],[Corriente '[mA']]]/1000</f>
        <v>0</v>
      </c>
      <c r="G88" s="7">
        <v>0</v>
      </c>
      <c r="H88" s="9">
        <f>_25[[#This Row],[Potencia '[mW']]]/100000</f>
        <v>0</v>
      </c>
      <c r="I88" s="7">
        <v>0</v>
      </c>
    </row>
    <row r="89" spans="1:11" x14ac:dyDescent="0.3">
      <c r="A89" s="21">
        <f>(A85/60)/60</f>
        <v>0.23055555555555557</v>
      </c>
      <c r="C89" s="24"/>
      <c r="E89" s="18"/>
      <c r="F89" s="20">
        <f>AVERAGEIF(_25[Corriente '[mA']2],"&gt;0")</f>
        <v>387.72932307692304</v>
      </c>
      <c r="H89" s="19"/>
      <c r="J89" s="22">
        <f>_25[[#Totals],[Corriente '[mA']2]]*_25[[#Totals],[Tiempo '[s']]]</f>
        <v>89.393149487179485</v>
      </c>
      <c r="K89" s="23" t="s">
        <v>10</v>
      </c>
    </row>
    <row r="90" spans="1:11" x14ac:dyDescent="0.3">
      <c r="C90" s="25"/>
    </row>
  </sheetData>
  <phoneticPr fontId="3" type="noConversion"/>
  <pageMargins left="0.7" right="0.7" top="0.75" bottom="0.75" header="0.3" footer="0.3"/>
  <ignoredErrors>
    <ignoredError sqref="E26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A4C7A-0BAD-45EB-A090-7ABA888A45A1}">
  <dimension ref="A1:K91"/>
  <sheetViews>
    <sheetView topLeftCell="A76" workbookViewId="0">
      <selection activeCell="N86" sqref="N86"/>
    </sheetView>
  </sheetViews>
  <sheetFormatPr baseColWidth="10" defaultRowHeight="14.4" x14ac:dyDescent="0.3"/>
  <cols>
    <col min="1" max="1" width="10.109375" style="1" customWidth="1"/>
    <col min="2" max="2" width="7.88671875" style="5" customWidth="1"/>
    <col min="3" max="3" width="9.77734375" style="3" customWidth="1"/>
    <col min="4" max="4" width="9" style="5" customWidth="1"/>
    <col min="5" max="5" width="9.6640625" style="5" customWidth="1"/>
    <col min="6" max="6" width="9" style="3" customWidth="1"/>
    <col min="7" max="7" width="10.5546875" style="5" customWidth="1"/>
    <col min="8" max="8" width="11.33203125" style="4" customWidth="1"/>
    <col min="9" max="9" width="14.33203125" style="5" customWidth="1"/>
    <col min="10" max="16384" width="11.5546875" style="5"/>
  </cols>
  <sheetData>
    <row r="1" spans="1:11" s="14" customFormat="1" ht="29.4" customHeight="1" x14ac:dyDescent="0.3">
      <c r="A1" s="10" t="s">
        <v>0</v>
      </c>
      <c r="B1" s="11" t="s">
        <v>1</v>
      </c>
      <c r="C1" s="12" t="s">
        <v>6</v>
      </c>
      <c r="D1" s="11" t="s">
        <v>2</v>
      </c>
      <c r="E1" s="11" t="s">
        <v>9</v>
      </c>
      <c r="F1" s="12" t="s">
        <v>7</v>
      </c>
      <c r="G1" s="11" t="s">
        <v>3</v>
      </c>
      <c r="H1" s="13" t="s">
        <v>8</v>
      </c>
      <c r="I1" s="14" t="s">
        <v>4</v>
      </c>
      <c r="J1" s="14" t="s">
        <v>12</v>
      </c>
      <c r="K1" s="14" t="s">
        <v>11</v>
      </c>
    </row>
    <row r="2" spans="1:11" x14ac:dyDescent="0.3">
      <c r="A2" s="1">
        <v>0</v>
      </c>
      <c r="B2" s="5">
        <v>1576</v>
      </c>
      <c r="C2" s="3">
        <f>_25_3[[#This Row],[Tension '[V']]]/1000</f>
        <v>1.5760000000000001</v>
      </c>
      <c r="D2" s="5">
        <v>0</v>
      </c>
      <c r="E2" s="15"/>
      <c r="F2" s="3">
        <f>_25_3[[#This Row],[Corriente '[mA']]]/1000</f>
        <v>0</v>
      </c>
      <c r="G2" s="5">
        <v>0</v>
      </c>
      <c r="H2" s="4">
        <f>_25_3[[#This Row],[Potencia '[mW']]]/100000</f>
        <v>0</v>
      </c>
      <c r="I2" s="5">
        <v>0</v>
      </c>
      <c r="J2" s="28"/>
      <c r="K2" s="2"/>
    </row>
    <row r="3" spans="1:11" x14ac:dyDescent="0.3">
      <c r="A3" s="1">
        <f>A2+10</f>
        <v>10</v>
      </c>
      <c r="B3" s="5">
        <v>1276</v>
      </c>
      <c r="C3" s="3">
        <f>_25_3[[#This Row],[Tension '[V']]]/1000</f>
        <v>1.276</v>
      </c>
      <c r="D3" s="5">
        <v>425487</v>
      </c>
      <c r="E3" s="15"/>
      <c r="F3" s="3">
        <f>_25_3[[#This Row],[Corriente '[mA']]]/1000</f>
        <v>425.48700000000002</v>
      </c>
      <c r="G3" s="5">
        <v>54248345</v>
      </c>
      <c r="H3" s="4">
        <f>_25_3[[#This Row],[Potencia '[mW']]]/100000</f>
        <v>542.48344999999995</v>
      </c>
      <c r="I3" s="5">
        <v>0</v>
      </c>
      <c r="J3" s="28">
        <f t="shared" ref="J2:J33" si="0">($A$3/3600)*((F2+F3)/2)</f>
        <v>0.59095416666666667</v>
      </c>
      <c r="K3" s="2">
        <f>($A$3/3600)*(F2/3+F3/3+F4/3)</f>
        <v>0.78268425925925933</v>
      </c>
    </row>
    <row r="4" spans="1:11" x14ac:dyDescent="0.3">
      <c r="A4" s="1">
        <f t="shared" ref="A4:A67" si="1">A3+10</f>
        <v>20</v>
      </c>
      <c r="B4" s="5">
        <v>1259</v>
      </c>
      <c r="C4" s="3">
        <f>_25_3[[#This Row],[Tension '[V']]]/1000</f>
        <v>1.2589999999999999</v>
      </c>
      <c r="D4" s="5">
        <v>419812</v>
      </c>
      <c r="E4" s="15"/>
      <c r="F4" s="3">
        <f>_25_3[[#This Row],[Corriente '[mA']]]/1000</f>
        <v>419.81200000000001</v>
      </c>
      <c r="G4" s="5">
        <v>52810888</v>
      </c>
      <c r="H4" s="4">
        <f>_25_3[[#This Row],[Potencia '[mW']]]/100000</f>
        <v>528.10888</v>
      </c>
      <c r="I4" s="5">
        <v>0</v>
      </c>
      <c r="J4" s="28">
        <f t="shared" si="0"/>
        <v>1.1740263888888889</v>
      </c>
      <c r="K4" s="2">
        <f t="shared" ref="K4:K67" si="2">($A$3/3600)*(F3/3+F4/3+F5/3)</f>
        <v>1.1679731481481483</v>
      </c>
    </row>
    <row r="5" spans="1:11" x14ac:dyDescent="0.3">
      <c r="A5" s="1">
        <f t="shared" si="1"/>
        <v>30</v>
      </c>
      <c r="B5" s="5">
        <v>1247</v>
      </c>
      <c r="C5" s="3">
        <f>_25_3[[#This Row],[Tension '[V']]]/1000</f>
        <v>1.2470000000000001</v>
      </c>
      <c r="D5" s="5">
        <v>416112</v>
      </c>
      <c r="E5" s="15"/>
      <c r="F5" s="3">
        <f>_25_3[[#This Row],[Corriente '[mA']]]/1000</f>
        <v>416.11200000000002</v>
      </c>
      <c r="G5" s="5">
        <v>51935913</v>
      </c>
      <c r="H5" s="4">
        <f>_25_3[[#This Row],[Potencia '[mW']]]/100000</f>
        <v>519.35913000000005</v>
      </c>
      <c r="I5" s="5">
        <v>0</v>
      </c>
      <c r="J5" s="28">
        <f t="shared" si="0"/>
        <v>1.1610055555555556</v>
      </c>
      <c r="K5" s="2">
        <f t="shared" si="2"/>
        <v>1.1565842592592595</v>
      </c>
    </row>
    <row r="6" spans="1:11" x14ac:dyDescent="0.3">
      <c r="A6" s="1">
        <f t="shared" si="1"/>
        <v>40</v>
      </c>
      <c r="B6" s="5">
        <v>1236</v>
      </c>
      <c r="C6" s="3">
        <f>_25_3[[#This Row],[Tension '[V']]]/1000</f>
        <v>1.236</v>
      </c>
      <c r="D6" s="5">
        <v>413187</v>
      </c>
      <c r="E6" s="15"/>
      <c r="F6" s="3">
        <f>_25_3[[#This Row],[Corriente '[mA']]]/1000</f>
        <v>413.18700000000001</v>
      </c>
      <c r="G6" s="5">
        <v>51060940</v>
      </c>
      <c r="H6" s="4">
        <f>_25_3[[#This Row],[Potencia '[mW']]]/100000</f>
        <v>510.60939999999999</v>
      </c>
      <c r="I6" s="5">
        <v>0</v>
      </c>
      <c r="J6" s="28">
        <f t="shared" si="0"/>
        <v>1.1518041666666667</v>
      </c>
      <c r="K6" s="2">
        <f t="shared" si="2"/>
        <v>1.1483435185185185</v>
      </c>
    </row>
    <row r="7" spans="1:11" x14ac:dyDescent="0.3">
      <c r="A7" s="1">
        <f t="shared" si="1"/>
        <v>50</v>
      </c>
      <c r="B7" s="5">
        <v>1229</v>
      </c>
      <c r="C7" s="3">
        <f>_25_3[[#This Row],[Tension '[V']]]/1000</f>
        <v>1.2290000000000001</v>
      </c>
      <c r="D7" s="5">
        <v>410912</v>
      </c>
      <c r="E7" s="15"/>
      <c r="F7" s="3">
        <f>_25_3[[#This Row],[Corriente '[mA']]]/1000</f>
        <v>410.91199999999998</v>
      </c>
      <c r="G7" s="5">
        <v>50498458</v>
      </c>
      <c r="H7" s="4">
        <f>_25_3[[#This Row],[Potencia '[mW']]]/100000</f>
        <v>504.98457999999999</v>
      </c>
      <c r="I7" s="5">
        <v>0</v>
      </c>
      <c r="J7" s="28">
        <f t="shared" si="0"/>
        <v>1.1445819444444445</v>
      </c>
      <c r="K7" s="2">
        <f t="shared" si="2"/>
        <v>1.1420472222222222</v>
      </c>
    </row>
    <row r="8" spans="1:11" x14ac:dyDescent="0.3">
      <c r="A8" s="1">
        <f t="shared" si="1"/>
        <v>60</v>
      </c>
      <c r="B8" s="5">
        <v>1227</v>
      </c>
      <c r="C8" s="3">
        <f>_25_3[[#This Row],[Tension '[V']]]/1000</f>
        <v>1.2270000000000001</v>
      </c>
      <c r="D8" s="5">
        <v>409312</v>
      </c>
      <c r="E8" s="15"/>
      <c r="F8" s="3">
        <f>_25_3[[#This Row],[Corriente '[mA']]]/1000</f>
        <v>409.31200000000001</v>
      </c>
      <c r="G8" s="5">
        <v>50248468</v>
      </c>
      <c r="H8" s="4">
        <f>_25_3[[#This Row],[Potencia '[mW']]]/100000</f>
        <v>502.48468000000003</v>
      </c>
      <c r="I8" s="5">
        <v>0</v>
      </c>
      <c r="J8" s="28">
        <f t="shared" si="0"/>
        <v>1.1392</v>
      </c>
      <c r="K8" s="2">
        <f t="shared" si="2"/>
        <v>1.1367935185185187</v>
      </c>
    </row>
    <row r="9" spans="1:11" x14ac:dyDescent="0.3">
      <c r="A9" s="1">
        <f t="shared" si="1"/>
        <v>70</v>
      </c>
      <c r="B9" s="5">
        <v>1221</v>
      </c>
      <c r="C9" s="3">
        <f>_25_3[[#This Row],[Tension '[V']]]/1000</f>
        <v>1.2210000000000001</v>
      </c>
      <c r="D9" s="5">
        <v>407513</v>
      </c>
      <c r="E9" s="15"/>
      <c r="F9" s="3">
        <f>_25_3[[#This Row],[Corriente '[mA']]]/1000</f>
        <v>407.51299999999998</v>
      </c>
      <c r="G9" s="5">
        <v>49748480</v>
      </c>
      <c r="H9" s="4">
        <f>_25_3[[#This Row],[Potencia '[mW']]]/100000</f>
        <v>497.48480000000001</v>
      </c>
      <c r="I9" s="5">
        <v>0</v>
      </c>
      <c r="J9" s="28">
        <f t="shared" si="0"/>
        <v>1.1344791666666667</v>
      </c>
      <c r="K9" s="2">
        <f t="shared" si="2"/>
        <v>1.1322111111111111</v>
      </c>
    </row>
    <row r="10" spans="1:11" x14ac:dyDescent="0.3">
      <c r="A10" s="1">
        <f t="shared" si="1"/>
        <v>80</v>
      </c>
      <c r="B10" s="5">
        <v>1217</v>
      </c>
      <c r="C10" s="3">
        <f>_25_3[[#This Row],[Tension '[V']]]/1000</f>
        <v>1.2170000000000001</v>
      </c>
      <c r="D10" s="5">
        <v>405963</v>
      </c>
      <c r="E10" s="15"/>
      <c r="F10" s="3">
        <f>_25_3[[#This Row],[Corriente '[mA']]]/1000</f>
        <v>405.96300000000002</v>
      </c>
      <c r="G10" s="5">
        <v>49435992</v>
      </c>
      <c r="H10" s="4">
        <f>_25_3[[#This Row],[Potencia '[mW']]]/100000</f>
        <v>494.35991999999999</v>
      </c>
      <c r="I10" s="5">
        <v>0</v>
      </c>
      <c r="J10" s="28">
        <f t="shared" si="0"/>
        <v>1.1298277777777779</v>
      </c>
      <c r="K10" s="2">
        <f t="shared" si="2"/>
        <v>1.1277212962962961</v>
      </c>
    </row>
    <row r="11" spans="1:11" x14ac:dyDescent="0.3">
      <c r="A11" s="1">
        <f t="shared" si="1"/>
        <v>90</v>
      </c>
      <c r="B11" s="5">
        <v>1212</v>
      </c>
      <c r="C11" s="3">
        <f>_25_3[[#This Row],[Tension '[V']]]/1000</f>
        <v>1.212</v>
      </c>
      <c r="D11" s="5">
        <v>404463</v>
      </c>
      <c r="E11" s="15"/>
      <c r="F11" s="3">
        <f>_25_3[[#This Row],[Corriente '[mA']]]/1000</f>
        <v>404.46300000000002</v>
      </c>
      <c r="G11" s="5">
        <v>49061001</v>
      </c>
      <c r="H11" s="4">
        <f>_25_3[[#This Row],[Potencia '[mW']]]/100000</f>
        <v>490.61000999999999</v>
      </c>
      <c r="I11" s="5">
        <v>0</v>
      </c>
      <c r="J11" s="28">
        <f t="shared" si="0"/>
        <v>1.1255916666666668</v>
      </c>
      <c r="K11" s="2">
        <f t="shared" si="2"/>
        <v>1.1236472222222225</v>
      </c>
    </row>
    <row r="12" spans="1:11" x14ac:dyDescent="0.3">
      <c r="A12" s="1">
        <f t="shared" si="1"/>
        <v>100</v>
      </c>
      <c r="B12" s="5">
        <v>1209</v>
      </c>
      <c r="C12" s="3">
        <f>_25_3[[#This Row],[Tension '[V']]]/1000</f>
        <v>1.2090000000000001</v>
      </c>
      <c r="D12" s="5">
        <v>403113</v>
      </c>
      <c r="E12" s="15"/>
      <c r="F12" s="3">
        <f>_25_3[[#This Row],[Corriente '[mA']]]/1000</f>
        <v>403.113</v>
      </c>
      <c r="G12" s="5">
        <v>48748510</v>
      </c>
      <c r="H12" s="4">
        <f>_25_3[[#This Row],[Potencia '[mW']]]/100000</f>
        <v>487.48509999999999</v>
      </c>
      <c r="I12" s="5">
        <v>0</v>
      </c>
      <c r="J12" s="28">
        <f t="shared" si="0"/>
        <v>1.1216333333333335</v>
      </c>
      <c r="K12" s="2">
        <f t="shared" si="2"/>
        <v>1.1197814814814817</v>
      </c>
    </row>
    <row r="13" spans="1:11" x14ac:dyDescent="0.3">
      <c r="A13" s="1">
        <f t="shared" si="1"/>
        <v>110</v>
      </c>
      <c r="B13" s="5">
        <v>1204</v>
      </c>
      <c r="C13" s="3">
        <f>_25_3[[#This Row],[Tension '[V']]]/1000</f>
        <v>1.204</v>
      </c>
      <c r="D13" s="5">
        <v>401788</v>
      </c>
      <c r="E13" s="15"/>
      <c r="F13" s="3">
        <f>_25_3[[#This Row],[Corriente '[mA']]]/1000</f>
        <v>401.78800000000001</v>
      </c>
      <c r="G13" s="5">
        <v>48311026</v>
      </c>
      <c r="H13" s="4">
        <f>_25_3[[#This Row],[Potencia '[mW']]]/100000</f>
        <v>483.11025999999998</v>
      </c>
      <c r="I13" s="5">
        <v>0</v>
      </c>
      <c r="J13" s="28">
        <f t="shared" si="0"/>
        <v>1.1179180555555557</v>
      </c>
      <c r="K13" s="2">
        <f t="shared" si="2"/>
        <v>1.1161703703703703</v>
      </c>
    </row>
    <row r="14" spans="1:11" x14ac:dyDescent="0.3">
      <c r="A14" s="1">
        <f t="shared" si="1"/>
        <v>120</v>
      </c>
      <c r="B14" s="5">
        <v>1200</v>
      </c>
      <c r="C14" s="3">
        <f>_25_3[[#This Row],[Tension '[V']]]/1000</f>
        <v>1.2</v>
      </c>
      <c r="D14" s="5">
        <v>400563</v>
      </c>
      <c r="E14" s="15"/>
      <c r="F14" s="3">
        <f>_25_3[[#This Row],[Corriente '[mA']]]/1000</f>
        <v>400.56299999999999</v>
      </c>
      <c r="G14" s="5">
        <v>47998535</v>
      </c>
      <c r="H14" s="4">
        <f>_25_3[[#This Row],[Potencia '[mW']]]/100000</f>
        <v>479.98534999999998</v>
      </c>
      <c r="I14" s="5">
        <v>0</v>
      </c>
      <c r="J14" s="28">
        <f t="shared" si="0"/>
        <v>1.1143763888888889</v>
      </c>
      <c r="K14" s="2">
        <f t="shared" si="2"/>
        <v>1.1127212962962962</v>
      </c>
    </row>
    <row r="15" spans="1:11" x14ac:dyDescent="0.3">
      <c r="A15" s="1">
        <f t="shared" si="1"/>
        <v>130</v>
      </c>
      <c r="B15" s="5">
        <v>1197</v>
      </c>
      <c r="C15" s="3">
        <f>_25_3[[#This Row],[Tension '[V']]]/1000</f>
        <v>1.1970000000000001</v>
      </c>
      <c r="D15" s="5">
        <v>399388</v>
      </c>
      <c r="E15" s="15"/>
      <c r="F15" s="3">
        <f>_25_3[[#This Row],[Corriente '[mA']]]/1000</f>
        <v>399.38799999999998</v>
      </c>
      <c r="G15" s="5">
        <v>47811041</v>
      </c>
      <c r="H15" s="4">
        <f>_25_3[[#This Row],[Potencia '[mW']]]/100000</f>
        <v>478.11041</v>
      </c>
      <c r="I15" s="5">
        <v>0</v>
      </c>
      <c r="J15" s="28">
        <f t="shared" si="0"/>
        <v>1.1110430555555557</v>
      </c>
      <c r="K15" s="2">
        <f t="shared" si="2"/>
        <v>1.1094574074074075</v>
      </c>
    </row>
    <row r="16" spans="1:11" x14ac:dyDescent="0.3">
      <c r="A16" s="1">
        <f t="shared" si="1"/>
        <v>140</v>
      </c>
      <c r="B16" s="5">
        <v>1194</v>
      </c>
      <c r="C16" s="3">
        <f>_25_3[[#This Row],[Tension '[V']]]/1000</f>
        <v>1.194</v>
      </c>
      <c r="D16" s="5">
        <v>398263</v>
      </c>
      <c r="E16" s="15"/>
      <c r="F16" s="3">
        <f>_25_3[[#This Row],[Corriente '[mA']]]/1000</f>
        <v>398.26299999999998</v>
      </c>
      <c r="G16" s="5">
        <v>47498550</v>
      </c>
      <c r="H16" s="4">
        <f>_25_3[[#This Row],[Potencia '[mW']]]/100000</f>
        <v>474.9855</v>
      </c>
      <c r="I16" s="5">
        <v>0</v>
      </c>
      <c r="J16" s="28">
        <f t="shared" si="0"/>
        <v>1.107848611111111</v>
      </c>
      <c r="K16" s="2">
        <f t="shared" si="2"/>
        <v>1.1064018518518519</v>
      </c>
    </row>
    <row r="17" spans="1:11" x14ac:dyDescent="0.3">
      <c r="A17" s="1">
        <f t="shared" si="1"/>
        <v>150</v>
      </c>
      <c r="B17" s="5">
        <v>1190</v>
      </c>
      <c r="C17" s="3">
        <f>_25_3[[#This Row],[Tension '[V']]]/1000</f>
        <v>1.19</v>
      </c>
      <c r="D17" s="5">
        <v>397263</v>
      </c>
      <c r="E17" s="15"/>
      <c r="F17" s="3">
        <f>_25_3[[#This Row],[Corriente '[mA']]]/1000</f>
        <v>397.26299999999998</v>
      </c>
      <c r="G17" s="5">
        <v>47311056</v>
      </c>
      <c r="H17" s="4">
        <f>_25_3[[#This Row],[Potencia '[mW']]]/100000</f>
        <v>473.11056000000002</v>
      </c>
      <c r="I17" s="5">
        <v>0</v>
      </c>
      <c r="J17" s="28">
        <f t="shared" si="0"/>
        <v>1.1048972222222222</v>
      </c>
      <c r="K17" s="2">
        <f t="shared" si="2"/>
        <v>1.1034620370370372</v>
      </c>
    </row>
    <row r="18" spans="1:11" x14ac:dyDescent="0.3">
      <c r="A18" s="1">
        <f t="shared" si="1"/>
        <v>160</v>
      </c>
      <c r="B18" s="5">
        <v>1187</v>
      </c>
      <c r="C18" s="3">
        <f>_25_3[[#This Row],[Tension '[V']]]/1000</f>
        <v>1.1870000000000001</v>
      </c>
      <c r="D18" s="5">
        <v>396213</v>
      </c>
      <c r="E18" s="15"/>
      <c r="F18" s="3">
        <f>_25_3[[#This Row],[Corriente '[mA']]]/1000</f>
        <v>396.21300000000002</v>
      </c>
      <c r="G18" s="5">
        <v>46998565</v>
      </c>
      <c r="H18" s="4">
        <f>_25_3[[#This Row],[Potencia '[mW']]]/100000</f>
        <v>469.98565000000002</v>
      </c>
      <c r="I18" s="5">
        <v>0</v>
      </c>
      <c r="J18" s="28">
        <f t="shared" si="0"/>
        <v>1.10205</v>
      </c>
      <c r="K18" s="2">
        <f t="shared" si="2"/>
        <v>1.1006379629629628</v>
      </c>
    </row>
    <row r="19" spans="1:11" x14ac:dyDescent="0.3">
      <c r="A19" s="1">
        <f t="shared" si="1"/>
        <v>170</v>
      </c>
      <c r="B19" s="5">
        <v>1184</v>
      </c>
      <c r="C19" s="3">
        <f>_25_3[[#This Row],[Tension '[V']]]/1000</f>
        <v>1.1839999999999999</v>
      </c>
      <c r="D19" s="5">
        <v>395213</v>
      </c>
      <c r="E19" s="16">
        <f t="shared" ref="E19" si="3">(C21-C20)/(F18/1000)</f>
        <v>3.0286739708187287E-2</v>
      </c>
      <c r="F19" s="3">
        <f>_25_3[[#This Row],[Corriente '[mA']]]/1000</f>
        <v>395.21300000000002</v>
      </c>
      <c r="G19" s="5">
        <v>46811071</v>
      </c>
      <c r="H19" s="4">
        <f>_25_3[[#This Row],[Potencia '[mW']]]/100000</f>
        <v>468.11070999999998</v>
      </c>
      <c r="I19" s="5">
        <v>1</v>
      </c>
      <c r="J19" s="28">
        <f t="shared" si="0"/>
        <v>1.099202777777778</v>
      </c>
      <c r="K19" s="2">
        <f t="shared" si="2"/>
        <v>0.73280185185185187</v>
      </c>
    </row>
    <row r="20" spans="1:11" x14ac:dyDescent="0.3">
      <c r="A20" s="1">
        <f t="shared" si="1"/>
        <v>180</v>
      </c>
      <c r="B20" s="5">
        <v>1442</v>
      </c>
      <c r="C20" s="3">
        <f>_25_3[[#This Row],[Tension '[V']]]/1000</f>
        <v>1.4419999999999999</v>
      </c>
      <c r="D20" s="5">
        <v>0</v>
      </c>
      <c r="E20" s="15"/>
      <c r="F20" s="3">
        <f>_25_3[[#This Row],[Corriente '[mA']]]/1000</f>
        <v>0</v>
      </c>
      <c r="G20" s="5">
        <v>0</v>
      </c>
      <c r="H20" s="4">
        <f>_25_3[[#This Row],[Potencia '[mW']]]/100000</f>
        <v>0</v>
      </c>
      <c r="I20" s="5">
        <v>1</v>
      </c>
      <c r="J20" s="28">
        <f t="shared" si="0"/>
        <v>0.54890694444444454</v>
      </c>
      <c r="K20" s="2">
        <f t="shared" si="2"/>
        <v>0.36593796296296305</v>
      </c>
    </row>
    <row r="21" spans="1:11" x14ac:dyDescent="0.3">
      <c r="A21" s="1">
        <f t="shared" si="1"/>
        <v>190</v>
      </c>
      <c r="B21" s="5">
        <v>1454</v>
      </c>
      <c r="C21" s="3">
        <f>_25_3[[#This Row],[Tension '[V']]]/1000</f>
        <v>1.454</v>
      </c>
      <c r="D21" s="5">
        <v>0</v>
      </c>
      <c r="E21" s="15"/>
      <c r="F21" s="3">
        <f>_25_3[[#This Row],[Corriente '[mA']]]/1000</f>
        <v>0</v>
      </c>
      <c r="G21" s="5">
        <v>0</v>
      </c>
      <c r="H21" s="4">
        <f>_25_3[[#This Row],[Potencia '[mW']]]/100000</f>
        <v>0</v>
      </c>
      <c r="I21" s="5">
        <v>1</v>
      </c>
      <c r="J21" s="28">
        <f t="shared" si="0"/>
        <v>0</v>
      </c>
      <c r="K21" s="2">
        <f t="shared" si="2"/>
        <v>0</v>
      </c>
    </row>
    <row r="22" spans="1:11" x14ac:dyDescent="0.3">
      <c r="A22" s="1">
        <f t="shared" si="1"/>
        <v>200</v>
      </c>
      <c r="B22" s="5">
        <v>1460</v>
      </c>
      <c r="C22" s="3">
        <f>_25_3[[#This Row],[Tension '[V']]]/1000</f>
        <v>1.46</v>
      </c>
      <c r="D22" s="5">
        <v>0</v>
      </c>
      <c r="E22" s="15"/>
      <c r="F22" s="3">
        <f>_25_3[[#This Row],[Corriente '[mA']]]/1000</f>
        <v>0</v>
      </c>
      <c r="G22" s="5">
        <v>0</v>
      </c>
      <c r="H22" s="4">
        <f>_25_3[[#This Row],[Potencia '[mW']]]/100000</f>
        <v>0</v>
      </c>
      <c r="I22" s="5">
        <v>1</v>
      </c>
      <c r="J22" s="28">
        <f t="shared" si="0"/>
        <v>0</v>
      </c>
      <c r="K22" s="2">
        <f t="shared" si="2"/>
        <v>0</v>
      </c>
    </row>
    <row r="23" spans="1:11" x14ac:dyDescent="0.3">
      <c r="A23" s="1">
        <f t="shared" si="1"/>
        <v>210</v>
      </c>
      <c r="B23" s="5">
        <v>1465</v>
      </c>
      <c r="C23" s="3">
        <f>_25_3[[#This Row],[Tension '[V']]]/1000</f>
        <v>1.4650000000000001</v>
      </c>
      <c r="D23" s="5">
        <v>0</v>
      </c>
      <c r="E23" s="15"/>
      <c r="F23" s="3">
        <f>_25_3[[#This Row],[Corriente '[mA']]]/1000</f>
        <v>0</v>
      </c>
      <c r="G23" s="5">
        <v>0</v>
      </c>
      <c r="H23" s="4">
        <f>_25_3[[#This Row],[Potencia '[mW']]]/100000</f>
        <v>0</v>
      </c>
      <c r="I23" s="5">
        <v>1</v>
      </c>
      <c r="J23" s="28">
        <f t="shared" si="0"/>
        <v>0</v>
      </c>
      <c r="K23" s="2">
        <f t="shared" si="2"/>
        <v>0</v>
      </c>
    </row>
    <row r="24" spans="1:11" x14ac:dyDescent="0.3">
      <c r="A24" s="1">
        <f t="shared" si="1"/>
        <v>220</v>
      </c>
      <c r="B24" s="5">
        <v>1470</v>
      </c>
      <c r="C24" s="3">
        <f>_25_3[[#This Row],[Tension '[V']]]/1000</f>
        <v>1.47</v>
      </c>
      <c r="D24" s="5">
        <v>0</v>
      </c>
      <c r="E24" s="15"/>
      <c r="F24" s="3">
        <f>_25_3[[#This Row],[Corriente '[mA']]]/1000</f>
        <v>0</v>
      </c>
      <c r="G24" s="5">
        <v>0</v>
      </c>
      <c r="H24" s="4">
        <f>_25_3[[#This Row],[Potencia '[mW']]]/100000</f>
        <v>0</v>
      </c>
      <c r="I24" s="5">
        <v>1</v>
      </c>
      <c r="J24" s="28">
        <f t="shared" si="0"/>
        <v>0</v>
      </c>
      <c r="K24" s="2">
        <f t="shared" si="2"/>
        <v>0</v>
      </c>
    </row>
    <row r="25" spans="1:11" x14ac:dyDescent="0.3">
      <c r="A25" s="1">
        <f t="shared" si="1"/>
        <v>230</v>
      </c>
      <c r="B25" s="5">
        <v>1474</v>
      </c>
      <c r="C25" s="3">
        <f>_25_3[[#This Row],[Tension '[V']]]/1000</f>
        <v>1.474</v>
      </c>
      <c r="D25" s="5">
        <v>0</v>
      </c>
      <c r="E25" s="15"/>
      <c r="F25" s="3">
        <f>_25_3[[#This Row],[Corriente '[mA']]]/1000</f>
        <v>0</v>
      </c>
      <c r="G25" s="5">
        <v>0</v>
      </c>
      <c r="H25" s="4">
        <f>_25_3[[#This Row],[Potencia '[mW']]]/100000</f>
        <v>0</v>
      </c>
      <c r="I25" s="5">
        <v>0</v>
      </c>
      <c r="J25" s="28">
        <f t="shared" si="0"/>
        <v>0</v>
      </c>
      <c r="K25" s="2">
        <f t="shared" si="2"/>
        <v>0.37246574074074068</v>
      </c>
    </row>
    <row r="26" spans="1:11" x14ac:dyDescent="0.3">
      <c r="A26" s="1">
        <f t="shared" si="1"/>
        <v>240</v>
      </c>
      <c r="B26" s="5">
        <v>1206</v>
      </c>
      <c r="C26" s="3">
        <f>_25_3[[#This Row],[Tension '[V']]]/1000</f>
        <v>1.206</v>
      </c>
      <c r="D26" s="5">
        <v>402263</v>
      </c>
      <c r="E26" s="16">
        <f>(C25-C26)/(F26/1000)</f>
        <v>0.66623079925322493</v>
      </c>
      <c r="F26" s="3">
        <f>_25_3[[#This Row],[Corriente '[mA']]]/1000</f>
        <v>402.26299999999998</v>
      </c>
      <c r="G26" s="5">
        <v>48561016</v>
      </c>
      <c r="H26" s="4">
        <f>_25_3[[#This Row],[Potencia '[mW']]]/100000</f>
        <v>485.61016000000001</v>
      </c>
      <c r="I26" s="5">
        <v>0</v>
      </c>
      <c r="J26" s="28">
        <f t="shared" si="0"/>
        <v>0.55869861111111108</v>
      </c>
      <c r="K26" s="2">
        <f t="shared" si="2"/>
        <v>0.74182962962962973</v>
      </c>
    </row>
    <row r="27" spans="1:11" x14ac:dyDescent="0.3">
      <c r="A27" s="1">
        <f t="shared" si="1"/>
        <v>250</v>
      </c>
      <c r="B27" s="5">
        <v>1196</v>
      </c>
      <c r="C27" s="3">
        <f>_25_3[[#This Row],[Tension '[V']]]/1000</f>
        <v>1.196</v>
      </c>
      <c r="D27" s="5">
        <v>398913</v>
      </c>
      <c r="E27" s="15"/>
      <c r="F27" s="3">
        <f>_25_3[[#This Row],[Corriente '[mA']]]/1000</f>
        <v>398.91300000000001</v>
      </c>
      <c r="G27" s="5">
        <v>47748541</v>
      </c>
      <c r="H27" s="4">
        <f>_25_3[[#This Row],[Potencia '[mW']]]/100000</f>
        <v>477.48541</v>
      </c>
      <c r="I27" s="5">
        <v>0</v>
      </c>
      <c r="J27" s="28">
        <f t="shared" si="0"/>
        <v>1.1127444444444443</v>
      </c>
      <c r="K27" s="2">
        <f t="shared" si="2"/>
        <v>1.1090870370370371</v>
      </c>
    </row>
    <row r="28" spans="1:11" x14ac:dyDescent="0.3">
      <c r="A28" s="1">
        <f t="shared" si="1"/>
        <v>260</v>
      </c>
      <c r="B28" s="5">
        <v>1189</v>
      </c>
      <c r="C28" s="3">
        <f>_25_3[[#This Row],[Tension '[V']]]/1000</f>
        <v>1.1890000000000001</v>
      </c>
      <c r="D28" s="5">
        <v>396638</v>
      </c>
      <c r="E28" s="15"/>
      <c r="F28" s="3">
        <f>_25_3[[#This Row],[Corriente '[mA']]]/1000</f>
        <v>396.63799999999998</v>
      </c>
      <c r="G28" s="5">
        <v>47123562</v>
      </c>
      <c r="H28" s="4">
        <f>_25_3[[#This Row],[Potencia '[mW']]]/100000</f>
        <v>471.23561999999998</v>
      </c>
      <c r="I28" s="5">
        <v>0</v>
      </c>
      <c r="J28" s="28">
        <f t="shared" si="0"/>
        <v>1.1049319444444443</v>
      </c>
      <c r="K28" s="2">
        <f t="shared" si="2"/>
        <v>1.1022583333333333</v>
      </c>
    </row>
    <row r="29" spans="1:11" x14ac:dyDescent="0.3">
      <c r="A29" s="1">
        <f t="shared" si="1"/>
        <v>270</v>
      </c>
      <c r="B29" s="5">
        <v>1184</v>
      </c>
      <c r="C29" s="3">
        <f>_25_3[[#This Row],[Tension '[V']]]/1000</f>
        <v>1.1839999999999999</v>
      </c>
      <c r="D29" s="5">
        <v>394888</v>
      </c>
      <c r="E29" s="15"/>
      <c r="F29" s="3">
        <f>_25_3[[#This Row],[Corriente '[mA']]]/1000</f>
        <v>394.88799999999998</v>
      </c>
      <c r="G29" s="5">
        <v>46686074</v>
      </c>
      <c r="H29" s="4">
        <f>_25_3[[#This Row],[Potencia '[mW']]]/100000</f>
        <v>466.86074000000002</v>
      </c>
      <c r="I29" s="5">
        <v>0</v>
      </c>
      <c r="J29" s="28">
        <f t="shared" si="0"/>
        <v>1.0993416666666667</v>
      </c>
      <c r="K29" s="2">
        <f t="shared" si="2"/>
        <v>1.0971888888888888</v>
      </c>
    </row>
    <row r="30" spans="1:11" x14ac:dyDescent="0.3">
      <c r="A30" s="1">
        <f t="shared" si="1"/>
        <v>280</v>
      </c>
      <c r="B30" s="5">
        <v>1179</v>
      </c>
      <c r="C30" s="3">
        <f>_25_3[[#This Row],[Tension '[V']]]/1000</f>
        <v>1.179</v>
      </c>
      <c r="D30" s="5">
        <v>393438</v>
      </c>
      <c r="E30" s="15"/>
      <c r="F30" s="3">
        <f>_25_3[[#This Row],[Corriente '[mA']]]/1000</f>
        <v>393.43799999999999</v>
      </c>
      <c r="G30" s="5">
        <v>46373583</v>
      </c>
      <c r="H30" s="4">
        <f>_25_3[[#This Row],[Potencia '[mW']]]/100000</f>
        <v>463.73583000000002</v>
      </c>
      <c r="I30" s="5">
        <v>0</v>
      </c>
      <c r="J30" s="28">
        <f t="shared" si="0"/>
        <v>1.0948972222222222</v>
      </c>
      <c r="K30" s="2">
        <f t="shared" si="2"/>
        <v>1.092999074074074</v>
      </c>
    </row>
    <row r="31" spans="1:11" x14ac:dyDescent="0.3">
      <c r="A31" s="1">
        <f t="shared" si="1"/>
        <v>290</v>
      </c>
      <c r="B31" s="5">
        <v>1175</v>
      </c>
      <c r="C31" s="3">
        <f>_25_3[[#This Row],[Tension '[V']]]/1000</f>
        <v>1.175</v>
      </c>
      <c r="D31" s="5">
        <v>392113</v>
      </c>
      <c r="E31" s="15"/>
      <c r="F31" s="3">
        <f>_25_3[[#This Row],[Corriente '[mA']]]/1000</f>
        <v>392.113</v>
      </c>
      <c r="G31" s="5">
        <v>46061093</v>
      </c>
      <c r="H31" s="4">
        <f>_25_3[[#This Row],[Potencia '[mW']]]/100000</f>
        <v>460.61093</v>
      </c>
      <c r="I31" s="5">
        <v>0</v>
      </c>
      <c r="J31" s="28">
        <f t="shared" si="0"/>
        <v>1.0910430555555555</v>
      </c>
      <c r="K31" s="2">
        <f t="shared" si="2"/>
        <v>1.089387962962963</v>
      </c>
    </row>
    <row r="32" spans="1:11" x14ac:dyDescent="0.3">
      <c r="A32" s="1">
        <f t="shared" si="1"/>
        <v>300</v>
      </c>
      <c r="B32" s="5">
        <v>1172</v>
      </c>
      <c r="C32" s="3">
        <f>_25_3[[#This Row],[Tension '[V']]]/1000</f>
        <v>1.1719999999999999</v>
      </c>
      <c r="D32" s="5">
        <v>390988</v>
      </c>
      <c r="E32" s="15"/>
      <c r="F32" s="3">
        <f>_25_3[[#This Row],[Corriente '[mA']]]/1000</f>
        <v>390.988</v>
      </c>
      <c r="G32" s="5">
        <v>45811102</v>
      </c>
      <c r="H32" s="4">
        <f>_25_3[[#This Row],[Potencia '[mW']]]/100000</f>
        <v>458.11102</v>
      </c>
      <c r="I32" s="5">
        <v>0</v>
      </c>
      <c r="J32" s="28">
        <f t="shared" si="0"/>
        <v>1.0876402777777778</v>
      </c>
      <c r="K32" s="2">
        <f t="shared" si="2"/>
        <v>1.0861009259259258</v>
      </c>
    </row>
    <row r="33" spans="1:11" x14ac:dyDescent="0.3">
      <c r="A33" s="1">
        <f t="shared" si="1"/>
        <v>310</v>
      </c>
      <c r="B33" s="5">
        <v>1169</v>
      </c>
      <c r="C33" s="3">
        <f>_25_3[[#This Row],[Tension '[V']]]/1000</f>
        <v>1.169</v>
      </c>
      <c r="D33" s="5">
        <v>389888</v>
      </c>
      <c r="E33" s="15"/>
      <c r="F33" s="3">
        <f>_25_3[[#This Row],[Corriente '[mA']]]/1000</f>
        <v>389.88799999999998</v>
      </c>
      <c r="G33" s="5">
        <v>45561108</v>
      </c>
      <c r="H33" s="4">
        <f>_25_3[[#This Row],[Potencia '[mW']]]/100000</f>
        <v>455.61108000000002</v>
      </c>
      <c r="I33" s="5">
        <v>0</v>
      </c>
      <c r="J33" s="28">
        <f t="shared" si="0"/>
        <v>1.0845499999999999</v>
      </c>
      <c r="K33" s="2">
        <f t="shared" si="2"/>
        <v>1.0831379629629629</v>
      </c>
    </row>
    <row r="34" spans="1:11" x14ac:dyDescent="0.3">
      <c r="A34" s="1">
        <f t="shared" si="1"/>
        <v>320</v>
      </c>
      <c r="B34" s="5">
        <v>1166</v>
      </c>
      <c r="C34" s="3">
        <f>_25_3[[#This Row],[Tension '[V']]]/1000</f>
        <v>1.1659999999999999</v>
      </c>
      <c r="D34" s="5">
        <v>388913</v>
      </c>
      <c r="E34" s="15"/>
      <c r="F34" s="3">
        <f>_25_3[[#This Row],[Corriente '[mA']]]/1000</f>
        <v>388.91300000000001</v>
      </c>
      <c r="G34" s="5">
        <v>45311117</v>
      </c>
      <c r="H34" s="4">
        <f>_25_3[[#This Row],[Potencia '[mW']]]/100000</f>
        <v>453.11117000000002</v>
      </c>
      <c r="I34" s="5">
        <v>0</v>
      </c>
      <c r="J34" s="28">
        <f t="shared" ref="J34:J65" si="4">($A$3/3600)*((F33+F34)/2)</f>
        <v>1.0816680555555556</v>
      </c>
      <c r="K34" s="2">
        <f t="shared" si="2"/>
        <v>1.0803833333333333</v>
      </c>
    </row>
    <row r="35" spans="1:11" x14ac:dyDescent="0.3">
      <c r="A35" s="1">
        <f t="shared" si="1"/>
        <v>330</v>
      </c>
      <c r="B35" s="5">
        <v>1162</v>
      </c>
      <c r="C35" s="3">
        <f>_25_3[[#This Row],[Tension '[V']]]/1000</f>
        <v>1.1619999999999999</v>
      </c>
      <c r="D35" s="5">
        <v>388013</v>
      </c>
      <c r="E35" s="15"/>
      <c r="F35" s="3">
        <f>_25_3[[#This Row],[Corriente '[mA']]]/1000</f>
        <v>388.01299999999998</v>
      </c>
      <c r="G35" s="5">
        <v>45061123</v>
      </c>
      <c r="H35" s="4">
        <f>_25_3[[#This Row],[Potencia '[mW']]]/100000</f>
        <v>450.61122999999998</v>
      </c>
      <c r="I35" s="5">
        <v>0</v>
      </c>
      <c r="J35" s="28">
        <f t="shared" si="4"/>
        <v>1.0790638888888888</v>
      </c>
      <c r="K35" s="2">
        <f t="shared" si="2"/>
        <v>1.0778370370370369</v>
      </c>
    </row>
    <row r="36" spans="1:11" x14ac:dyDescent="0.3">
      <c r="A36" s="1">
        <f t="shared" si="1"/>
        <v>340</v>
      </c>
      <c r="B36" s="5">
        <v>1160</v>
      </c>
      <c r="C36" s="3">
        <f>_25_3[[#This Row],[Tension '[V']]]/1000</f>
        <v>1.1599999999999999</v>
      </c>
      <c r="D36" s="5">
        <v>387138</v>
      </c>
      <c r="E36" s="15"/>
      <c r="F36" s="3">
        <f>_25_3[[#This Row],[Corriente '[mA']]]/1000</f>
        <v>387.13799999999998</v>
      </c>
      <c r="G36" s="5">
        <v>44936129</v>
      </c>
      <c r="H36" s="4">
        <f>_25_3[[#This Row],[Potencia '[mW']]]/100000</f>
        <v>449.36129</v>
      </c>
      <c r="I36" s="5">
        <v>0</v>
      </c>
      <c r="J36" s="28">
        <f t="shared" si="4"/>
        <v>1.076598611111111</v>
      </c>
      <c r="K36" s="2">
        <f t="shared" si="2"/>
        <v>1.0754064814814812</v>
      </c>
    </row>
    <row r="37" spans="1:11" x14ac:dyDescent="0.3">
      <c r="A37" s="1">
        <f t="shared" si="1"/>
        <v>350</v>
      </c>
      <c r="B37" s="5">
        <v>1157</v>
      </c>
      <c r="C37" s="3">
        <f>_25_3[[#This Row],[Tension '[V']]]/1000</f>
        <v>1.157</v>
      </c>
      <c r="D37" s="5">
        <v>386288</v>
      </c>
      <c r="E37" s="15"/>
      <c r="F37" s="3">
        <f>_25_3[[#This Row],[Corriente '[mA']]]/1000</f>
        <v>386.28800000000001</v>
      </c>
      <c r="G37" s="5">
        <v>44748632</v>
      </c>
      <c r="H37" s="4">
        <f>_25_3[[#This Row],[Potencia '[mW']]]/100000</f>
        <v>447.48631999999998</v>
      </c>
      <c r="I37" s="5">
        <v>0</v>
      </c>
      <c r="J37" s="28">
        <f t="shared" si="4"/>
        <v>1.0742027777777776</v>
      </c>
      <c r="K37" s="2">
        <f t="shared" si="2"/>
        <v>1.0730685185185185</v>
      </c>
    </row>
    <row r="38" spans="1:11" x14ac:dyDescent="0.3">
      <c r="A38" s="1">
        <f t="shared" si="1"/>
        <v>360</v>
      </c>
      <c r="B38" s="5">
        <v>1155</v>
      </c>
      <c r="C38" s="3">
        <f>_25_3[[#This Row],[Tension '[V']]]/1000</f>
        <v>1.155</v>
      </c>
      <c r="D38" s="5">
        <v>385488</v>
      </c>
      <c r="E38" s="15"/>
      <c r="F38" s="3">
        <f>_25_3[[#This Row],[Corriente '[mA']]]/1000</f>
        <v>385.488</v>
      </c>
      <c r="G38" s="5">
        <v>44561138</v>
      </c>
      <c r="H38" s="4">
        <f>_25_3[[#This Row],[Potencia '[mW']]]/100000</f>
        <v>445.61138</v>
      </c>
      <c r="I38" s="5">
        <v>0</v>
      </c>
      <c r="J38" s="28">
        <f t="shared" si="4"/>
        <v>1.0719111111111113</v>
      </c>
      <c r="K38" s="2">
        <f t="shared" si="2"/>
        <v>1.0707768518518519</v>
      </c>
    </row>
    <row r="39" spans="1:11" x14ac:dyDescent="0.3">
      <c r="A39" s="1">
        <f t="shared" si="1"/>
        <v>370</v>
      </c>
      <c r="B39" s="5">
        <v>1154</v>
      </c>
      <c r="C39" s="3">
        <f>_25_3[[#This Row],[Tension '[V']]]/1000</f>
        <v>1.1539999999999999</v>
      </c>
      <c r="D39" s="5">
        <v>384663</v>
      </c>
      <c r="E39" s="15"/>
      <c r="F39" s="3">
        <f>_25_3[[#This Row],[Corriente '[mA']]]/1000</f>
        <v>384.66300000000001</v>
      </c>
      <c r="G39" s="5">
        <v>44311148</v>
      </c>
      <c r="H39" s="4">
        <f>_25_3[[#This Row],[Potencia '[mW']]]/100000</f>
        <v>443.11147999999997</v>
      </c>
      <c r="I39" s="5">
        <v>0</v>
      </c>
      <c r="J39" s="28">
        <f t="shared" si="4"/>
        <v>1.0696541666666668</v>
      </c>
      <c r="K39" s="2">
        <f t="shared" si="2"/>
        <v>1.0685777777777778</v>
      </c>
    </row>
    <row r="40" spans="1:11" x14ac:dyDescent="0.3">
      <c r="A40" s="1">
        <f t="shared" si="1"/>
        <v>380</v>
      </c>
      <c r="B40" s="5">
        <v>1147</v>
      </c>
      <c r="C40" s="3">
        <f>_25_3[[#This Row],[Tension '[V']]]/1000</f>
        <v>1.147</v>
      </c>
      <c r="D40" s="5">
        <v>383913</v>
      </c>
      <c r="E40" s="15"/>
      <c r="F40" s="3">
        <f>_25_3[[#This Row],[Corriente '[mA']]]/1000</f>
        <v>383.91300000000001</v>
      </c>
      <c r="G40" s="5">
        <v>44061154</v>
      </c>
      <c r="H40" s="4">
        <f>_25_3[[#This Row],[Potencia '[mW']]]/100000</f>
        <v>440.61153999999999</v>
      </c>
      <c r="I40" s="5">
        <v>0</v>
      </c>
      <c r="J40" s="28">
        <f t="shared" si="4"/>
        <v>1.0674666666666668</v>
      </c>
      <c r="K40" s="2">
        <f t="shared" si="2"/>
        <v>1.0664250000000002</v>
      </c>
    </row>
    <row r="41" spans="1:11" x14ac:dyDescent="0.3">
      <c r="A41" s="1">
        <f t="shared" si="1"/>
        <v>390</v>
      </c>
      <c r="B41" s="5">
        <v>1146</v>
      </c>
      <c r="C41" s="3">
        <f>_25_3[[#This Row],[Tension '[V']]]/1000</f>
        <v>1.1459999999999999</v>
      </c>
      <c r="D41" s="5">
        <v>383163</v>
      </c>
      <c r="E41" s="15"/>
      <c r="F41" s="3">
        <f>_25_3[[#This Row],[Corriente '[mA']]]/1000</f>
        <v>383.16300000000001</v>
      </c>
      <c r="G41" s="5">
        <v>43936160</v>
      </c>
      <c r="H41" s="4">
        <f>_25_3[[#This Row],[Potencia '[mW']]]/100000</f>
        <v>439.36160000000001</v>
      </c>
      <c r="I41" s="5">
        <v>0</v>
      </c>
      <c r="J41" s="28">
        <f t="shared" si="4"/>
        <v>1.0653833333333333</v>
      </c>
      <c r="K41" s="2">
        <f t="shared" si="2"/>
        <v>1.0644342592592593</v>
      </c>
    </row>
    <row r="42" spans="1:11" x14ac:dyDescent="0.3">
      <c r="A42" s="1">
        <f t="shared" si="1"/>
        <v>400</v>
      </c>
      <c r="B42" s="5">
        <v>1144</v>
      </c>
      <c r="C42" s="3">
        <f>_25_3[[#This Row],[Tension '[V']]]/1000</f>
        <v>1.1439999999999999</v>
      </c>
      <c r="D42" s="5">
        <v>382513</v>
      </c>
      <c r="E42" s="15"/>
      <c r="F42" s="3">
        <f>_25_3[[#This Row],[Corriente '[mA']]]/1000</f>
        <v>382.51299999999998</v>
      </c>
      <c r="G42" s="5">
        <v>43748663</v>
      </c>
      <c r="H42" s="4">
        <f>_25_3[[#This Row],[Potencia '[mW']]]/100000</f>
        <v>437.48662999999999</v>
      </c>
      <c r="I42" s="5">
        <v>0</v>
      </c>
      <c r="J42" s="28">
        <f t="shared" si="4"/>
        <v>1.0634388888888888</v>
      </c>
      <c r="K42" s="2">
        <f t="shared" si="2"/>
        <v>1.0626287037037037</v>
      </c>
    </row>
    <row r="43" spans="1:11" x14ac:dyDescent="0.3">
      <c r="A43" s="1">
        <f t="shared" si="1"/>
        <v>410</v>
      </c>
      <c r="B43" s="5">
        <v>1141</v>
      </c>
      <c r="C43" s="3">
        <f>_25_3[[#This Row],[Tension '[V']]]/1000</f>
        <v>1.141</v>
      </c>
      <c r="D43" s="5">
        <v>381963</v>
      </c>
      <c r="E43" s="16">
        <f>(C44-C43)/(F43/1000)</f>
        <v>0.68069420336524744</v>
      </c>
      <c r="F43" s="3">
        <f>_25_3[[#This Row],[Corriente '[mA']]]/1000</f>
        <v>381.96300000000002</v>
      </c>
      <c r="G43" s="5">
        <v>43623669</v>
      </c>
      <c r="H43" s="4">
        <f>_25_3[[#This Row],[Potencia '[mW']]]/100000</f>
        <v>436.23669000000001</v>
      </c>
      <c r="I43" s="5">
        <v>1</v>
      </c>
      <c r="J43" s="28">
        <f t="shared" si="4"/>
        <v>1.0617722222222223</v>
      </c>
      <c r="K43" s="2">
        <f t="shared" si="2"/>
        <v>0.70784814814814823</v>
      </c>
    </row>
    <row r="44" spans="1:11" x14ac:dyDescent="0.3">
      <c r="A44" s="1">
        <f t="shared" si="1"/>
        <v>420</v>
      </c>
      <c r="B44" s="5">
        <v>1401</v>
      </c>
      <c r="C44" s="3">
        <f>_25_3[[#This Row],[Tension '[V']]]/1000</f>
        <v>1.401</v>
      </c>
      <c r="D44" s="5">
        <v>0</v>
      </c>
      <c r="E44" s="15"/>
      <c r="F44" s="3">
        <f>_25_3[[#This Row],[Corriente '[mA']]]/1000</f>
        <v>0</v>
      </c>
      <c r="G44" s="5">
        <v>0</v>
      </c>
      <c r="H44" s="4">
        <f>_25_3[[#This Row],[Potencia '[mW']]]/100000</f>
        <v>0</v>
      </c>
      <c r="I44" s="5">
        <v>1</v>
      </c>
      <c r="J44" s="28">
        <f t="shared" si="4"/>
        <v>0.53050416666666667</v>
      </c>
      <c r="K44" s="2">
        <f t="shared" si="2"/>
        <v>0.35366944444444448</v>
      </c>
    </row>
    <row r="45" spans="1:11" x14ac:dyDescent="0.3">
      <c r="A45" s="1">
        <f t="shared" si="1"/>
        <v>430</v>
      </c>
      <c r="B45" s="5">
        <v>1411</v>
      </c>
      <c r="C45" s="3">
        <f>_25_3[[#This Row],[Tension '[V']]]/1000</f>
        <v>1.411</v>
      </c>
      <c r="D45" s="5">
        <v>0</v>
      </c>
      <c r="E45" s="15"/>
      <c r="F45" s="3">
        <f>_25_3[[#This Row],[Corriente '[mA']]]/1000</f>
        <v>0</v>
      </c>
      <c r="G45" s="5">
        <v>0</v>
      </c>
      <c r="H45" s="4">
        <f>_25_3[[#This Row],[Potencia '[mW']]]/100000</f>
        <v>0</v>
      </c>
      <c r="I45" s="5">
        <v>1</v>
      </c>
      <c r="J45" s="28">
        <f t="shared" si="4"/>
        <v>0</v>
      </c>
      <c r="K45" s="2">
        <f t="shared" si="2"/>
        <v>0</v>
      </c>
    </row>
    <row r="46" spans="1:11" x14ac:dyDescent="0.3">
      <c r="A46" s="1">
        <f t="shared" si="1"/>
        <v>440</v>
      </c>
      <c r="B46" s="5">
        <v>1419</v>
      </c>
      <c r="C46" s="3">
        <f>_25_3[[#This Row],[Tension '[V']]]/1000</f>
        <v>1.419</v>
      </c>
      <c r="D46" s="5">
        <v>0</v>
      </c>
      <c r="E46" s="15"/>
      <c r="F46" s="3">
        <f>_25_3[[#This Row],[Corriente '[mA']]]/1000</f>
        <v>0</v>
      </c>
      <c r="G46" s="5">
        <v>0</v>
      </c>
      <c r="H46" s="4">
        <f>_25_3[[#This Row],[Potencia '[mW']]]/100000</f>
        <v>0</v>
      </c>
      <c r="I46" s="5">
        <v>1</v>
      </c>
      <c r="J46" s="28">
        <f t="shared" si="4"/>
        <v>0</v>
      </c>
      <c r="K46" s="2">
        <f t="shared" si="2"/>
        <v>0</v>
      </c>
    </row>
    <row r="47" spans="1:11" x14ac:dyDescent="0.3">
      <c r="A47" s="1">
        <f t="shared" si="1"/>
        <v>450</v>
      </c>
      <c r="B47" s="5">
        <v>1424</v>
      </c>
      <c r="C47" s="3">
        <f>_25_3[[#This Row],[Tension '[V']]]/1000</f>
        <v>1.4239999999999999</v>
      </c>
      <c r="D47" s="5">
        <v>0</v>
      </c>
      <c r="E47" s="15"/>
      <c r="F47" s="3">
        <f>_25_3[[#This Row],[Corriente '[mA']]]/1000</f>
        <v>0</v>
      </c>
      <c r="G47" s="5">
        <v>0</v>
      </c>
      <c r="H47" s="4">
        <f>_25_3[[#This Row],[Potencia '[mW']]]/100000</f>
        <v>0</v>
      </c>
      <c r="I47" s="5">
        <v>1</v>
      </c>
      <c r="J47" s="28">
        <f t="shared" si="4"/>
        <v>0</v>
      </c>
      <c r="K47" s="2">
        <f t="shared" si="2"/>
        <v>0</v>
      </c>
    </row>
    <row r="48" spans="1:11" x14ac:dyDescent="0.3">
      <c r="A48" s="1">
        <f t="shared" si="1"/>
        <v>460</v>
      </c>
      <c r="B48" s="5">
        <v>1427</v>
      </c>
      <c r="C48" s="3">
        <f>_25_3[[#This Row],[Tension '[V']]]/1000</f>
        <v>1.427</v>
      </c>
      <c r="D48" s="5">
        <v>0</v>
      </c>
      <c r="E48" s="15"/>
      <c r="F48" s="3">
        <f>_25_3[[#This Row],[Corriente '[mA']]]/1000</f>
        <v>0</v>
      </c>
      <c r="G48" s="5">
        <v>0</v>
      </c>
      <c r="H48" s="4">
        <f>_25_3[[#This Row],[Potencia '[mW']]]/100000</f>
        <v>0</v>
      </c>
      <c r="I48" s="5">
        <v>1</v>
      </c>
      <c r="J48" s="28">
        <f t="shared" si="4"/>
        <v>0</v>
      </c>
      <c r="K48" s="2">
        <f t="shared" si="2"/>
        <v>0</v>
      </c>
    </row>
    <row r="49" spans="1:11" x14ac:dyDescent="0.3">
      <c r="A49" s="1">
        <f t="shared" si="1"/>
        <v>470</v>
      </c>
      <c r="B49" s="5">
        <v>1430</v>
      </c>
      <c r="C49" s="3">
        <f>_25_3[[#This Row],[Tension '[V']]]/1000</f>
        <v>1.43</v>
      </c>
      <c r="D49" s="5">
        <v>0</v>
      </c>
      <c r="E49" s="15"/>
      <c r="F49" s="3">
        <f>_25_3[[#This Row],[Corriente '[mA']]]/1000</f>
        <v>0</v>
      </c>
      <c r="G49" s="5">
        <v>0</v>
      </c>
      <c r="H49" s="4">
        <f>_25_3[[#This Row],[Potencia '[mW']]]/100000</f>
        <v>0</v>
      </c>
      <c r="I49" s="5">
        <v>0</v>
      </c>
      <c r="J49" s="28">
        <f t="shared" si="4"/>
        <v>0</v>
      </c>
      <c r="K49" s="2">
        <f t="shared" si="2"/>
        <v>0.36056759259259263</v>
      </c>
    </row>
    <row r="50" spans="1:11" x14ac:dyDescent="0.3">
      <c r="A50" s="1">
        <f t="shared" si="1"/>
        <v>480</v>
      </c>
      <c r="B50" s="5">
        <v>1166</v>
      </c>
      <c r="C50" s="3">
        <f>_25_3[[#This Row],[Tension '[V']]]/1000</f>
        <v>1.1659999999999999</v>
      </c>
      <c r="D50" s="5">
        <v>389413</v>
      </c>
      <c r="E50" s="16">
        <f>(C49-C50)/(F50/1000)</f>
        <v>0.67794346875938916</v>
      </c>
      <c r="F50" s="3">
        <f>_25_3[[#This Row],[Corriente '[mA']]]/1000</f>
        <v>389.41300000000001</v>
      </c>
      <c r="G50" s="5">
        <v>45373614</v>
      </c>
      <c r="H50" s="4">
        <f>_25_3[[#This Row],[Potencia '[mW']]]/100000</f>
        <v>453.73613999999998</v>
      </c>
      <c r="I50" s="5">
        <v>0</v>
      </c>
      <c r="J50" s="28">
        <f t="shared" si="4"/>
        <v>0.54085138888888895</v>
      </c>
      <c r="K50" s="2">
        <f t="shared" si="2"/>
        <v>0.7183574074074075</v>
      </c>
    </row>
    <row r="51" spans="1:11" x14ac:dyDescent="0.3">
      <c r="A51" s="1">
        <f t="shared" si="1"/>
        <v>490</v>
      </c>
      <c r="B51" s="5">
        <v>1157</v>
      </c>
      <c r="C51" s="3">
        <f>_25_3[[#This Row],[Tension '[V']]]/1000</f>
        <v>1.157</v>
      </c>
      <c r="D51" s="5">
        <v>386413</v>
      </c>
      <c r="E51" s="15"/>
      <c r="F51" s="3">
        <f>_25_3[[#This Row],[Corriente '[mA']]]/1000</f>
        <v>386.41300000000001</v>
      </c>
      <c r="G51" s="5">
        <v>44686135</v>
      </c>
      <c r="H51" s="4">
        <f>_25_3[[#This Row],[Potencia '[mW']]]/100000</f>
        <v>446.86135000000002</v>
      </c>
      <c r="I51" s="5">
        <v>0</v>
      </c>
      <c r="J51" s="28">
        <f t="shared" si="4"/>
        <v>1.0775361111111112</v>
      </c>
      <c r="K51" s="2">
        <f t="shared" si="2"/>
        <v>1.0743185185185187</v>
      </c>
    </row>
    <row r="52" spans="1:11" x14ac:dyDescent="0.3">
      <c r="A52" s="1">
        <f t="shared" si="1"/>
        <v>500</v>
      </c>
      <c r="B52" s="5">
        <v>1150</v>
      </c>
      <c r="C52" s="3">
        <f>_25_3[[#This Row],[Tension '[V']]]/1000</f>
        <v>1.1499999999999999</v>
      </c>
      <c r="D52" s="5">
        <v>384438</v>
      </c>
      <c r="E52" s="15"/>
      <c r="F52" s="3">
        <f>_25_3[[#This Row],[Corriente '[mA']]]/1000</f>
        <v>384.43799999999999</v>
      </c>
      <c r="G52" s="5">
        <v>44248651</v>
      </c>
      <c r="H52" s="4">
        <f>_25_3[[#This Row],[Potencia '[mW']]]/100000</f>
        <v>442.48651000000001</v>
      </c>
      <c r="I52" s="5">
        <v>0</v>
      </c>
      <c r="J52" s="28">
        <f t="shared" si="4"/>
        <v>1.0706263888888889</v>
      </c>
      <c r="K52" s="2">
        <f t="shared" si="2"/>
        <v>1.0683462962962964</v>
      </c>
    </row>
    <row r="53" spans="1:11" x14ac:dyDescent="0.3">
      <c r="A53" s="1">
        <f t="shared" si="1"/>
        <v>510</v>
      </c>
      <c r="B53" s="5">
        <v>1146</v>
      </c>
      <c r="C53" s="3">
        <f>_25_3[[#This Row],[Tension '[V']]]/1000</f>
        <v>1.1459999999999999</v>
      </c>
      <c r="D53" s="5">
        <v>382963</v>
      </c>
      <c r="E53" s="15"/>
      <c r="F53" s="3">
        <f>_25_3[[#This Row],[Corriente '[mA']]]/1000</f>
        <v>382.96300000000002</v>
      </c>
      <c r="G53" s="5">
        <v>43936160</v>
      </c>
      <c r="H53" s="4">
        <f>_25_3[[#This Row],[Potencia '[mW']]]/100000</f>
        <v>439.36160000000001</v>
      </c>
      <c r="I53" s="5">
        <v>0</v>
      </c>
      <c r="J53" s="28">
        <f t="shared" si="4"/>
        <v>1.0658347222222224</v>
      </c>
      <c r="K53" s="2">
        <f t="shared" si="2"/>
        <v>1.0640175925925925</v>
      </c>
    </row>
    <row r="54" spans="1:11" x14ac:dyDescent="0.3">
      <c r="A54" s="1">
        <f t="shared" si="1"/>
        <v>520</v>
      </c>
      <c r="B54" s="5">
        <v>1142</v>
      </c>
      <c r="C54" s="3">
        <f>_25_3[[#This Row],[Tension '[V']]]/1000</f>
        <v>1.1419999999999999</v>
      </c>
      <c r="D54" s="5">
        <v>381738</v>
      </c>
      <c r="E54" s="15"/>
      <c r="F54" s="3">
        <f>_25_3[[#This Row],[Corriente '[mA']]]/1000</f>
        <v>381.738</v>
      </c>
      <c r="G54" s="5">
        <v>43623669</v>
      </c>
      <c r="H54" s="4">
        <f>_25_3[[#This Row],[Potencia '[mW']]]/100000</f>
        <v>436.23669000000001</v>
      </c>
      <c r="I54" s="5">
        <v>0</v>
      </c>
      <c r="J54" s="28">
        <f t="shared" si="4"/>
        <v>1.0620847222222223</v>
      </c>
      <c r="K54" s="2">
        <f t="shared" si="2"/>
        <v>1.0606842592592594</v>
      </c>
    </row>
    <row r="55" spans="1:11" x14ac:dyDescent="0.3">
      <c r="A55" s="1">
        <f t="shared" si="1"/>
        <v>530</v>
      </c>
      <c r="B55" s="5">
        <v>1140</v>
      </c>
      <c r="C55" s="3">
        <f>_25_3[[#This Row],[Tension '[V']]]/1000</f>
        <v>1.1399999999999999</v>
      </c>
      <c r="D55" s="5">
        <v>380838</v>
      </c>
      <c r="E55" s="15"/>
      <c r="F55" s="3">
        <f>_25_3[[#This Row],[Corriente '[mA']]]/1000</f>
        <v>380.83800000000002</v>
      </c>
      <c r="G55" s="5">
        <v>43436175</v>
      </c>
      <c r="H55" s="4">
        <f>_25_3[[#This Row],[Potencia '[mW']]]/100000</f>
        <v>434.36174999999997</v>
      </c>
      <c r="I55" s="5">
        <v>0</v>
      </c>
      <c r="J55" s="28">
        <f t="shared" si="4"/>
        <v>1.0591333333333335</v>
      </c>
      <c r="K55" s="2">
        <f t="shared" si="2"/>
        <v>1.0578601851851852</v>
      </c>
    </row>
    <row r="56" spans="1:11" x14ac:dyDescent="0.3">
      <c r="A56" s="1">
        <f t="shared" si="1"/>
        <v>540</v>
      </c>
      <c r="B56" s="5">
        <v>1137</v>
      </c>
      <c r="C56" s="3">
        <f>_25_3[[#This Row],[Tension '[V']]]/1000</f>
        <v>1.137</v>
      </c>
      <c r="D56" s="5">
        <v>379913</v>
      </c>
      <c r="E56" s="15"/>
      <c r="F56" s="3">
        <f>_25_3[[#This Row],[Corriente '[mA']]]/1000</f>
        <v>379.91300000000001</v>
      </c>
      <c r="G56" s="5">
        <v>43186181</v>
      </c>
      <c r="H56" s="4">
        <f>_25_3[[#This Row],[Potencia '[mW']]]/100000</f>
        <v>431.86180999999999</v>
      </c>
      <c r="I56" s="5">
        <v>0</v>
      </c>
      <c r="J56" s="28">
        <f t="shared" si="4"/>
        <v>1.0565986111111112</v>
      </c>
      <c r="K56" s="2">
        <f t="shared" si="2"/>
        <v>1.0554064814814816</v>
      </c>
    </row>
    <row r="57" spans="1:11" x14ac:dyDescent="0.3">
      <c r="A57" s="1">
        <f t="shared" si="1"/>
        <v>550</v>
      </c>
      <c r="B57" s="5">
        <v>1135</v>
      </c>
      <c r="C57" s="3">
        <f>_25_3[[#This Row],[Tension '[V']]]/1000</f>
        <v>1.135</v>
      </c>
      <c r="D57" s="5">
        <v>379088</v>
      </c>
      <c r="E57" s="15"/>
      <c r="F57" s="3">
        <f>_25_3[[#This Row],[Corriente '[mA']]]/1000</f>
        <v>379.08800000000002</v>
      </c>
      <c r="G57" s="5">
        <v>42998687</v>
      </c>
      <c r="H57" s="4">
        <f>_25_3[[#This Row],[Potencia '[mW']]]/100000</f>
        <v>429.98687000000001</v>
      </c>
      <c r="I57" s="5">
        <v>0</v>
      </c>
      <c r="J57" s="28">
        <f t="shared" si="4"/>
        <v>1.0541680555555555</v>
      </c>
      <c r="K57" s="2">
        <f t="shared" si="2"/>
        <v>1.0530685185185187</v>
      </c>
    </row>
    <row r="58" spans="1:11" x14ac:dyDescent="0.3">
      <c r="A58" s="1">
        <f t="shared" si="1"/>
        <v>560</v>
      </c>
      <c r="B58" s="5">
        <v>1132</v>
      </c>
      <c r="C58" s="3">
        <f>_25_3[[#This Row],[Tension '[V']]]/1000</f>
        <v>1.1319999999999999</v>
      </c>
      <c r="D58" s="5">
        <v>378313</v>
      </c>
      <c r="E58" s="15"/>
      <c r="F58" s="3">
        <f>_25_3[[#This Row],[Corriente '[mA']]]/1000</f>
        <v>378.31299999999999</v>
      </c>
      <c r="G58" s="5">
        <v>42811193</v>
      </c>
      <c r="H58" s="4">
        <f>_25_3[[#This Row],[Potencia '[mW']]]/100000</f>
        <v>428.11192999999997</v>
      </c>
      <c r="I58" s="5">
        <v>0</v>
      </c>
      <c r="J58" s="28">
        <f t="shared" si="4"/>
        <v>1.0519458333333334</v>
      </c>
      <c r="K58" s="2">
        <f t="shared" si="2"/>
        <v>1.0509157407407408</v>
      </c>
    </row>
    <row r="59" spans="1:11" x14ac:dyDescent="0.3">
      <c r="A59" s="1">
        <f t="shared" si="1"/>
        <v>570</v>
      </c>
      <c r="B59" s="5">
        <v>1130</v>
      </c>
      <c r="C59" s="3">
        <f>_25_3[[#This Row],[Tension '[V']]]/1000</f>
        <v>1.1299999999999999</v>
      </c>
      <c r="D59" s="5">
        <v>377588</v>
      </c>
      <c r="E59" s="15"/>
      <c r="F59" s="3">
        <f>_25_3[[#This Row],[Corriente '[mA']]]/1000</f>
        <v>377.58800000000002</v>
      </c>
      <c r="G59" s="5">
        <v>42686196</v>
      </c>
      <c r="H59" s="4">
        <f>_25_3[[#This Row],[Potencia '[mW']]]/100000</f>
        <v>426.86196000000001</v>
      </c>
      <c r="I59" s="5">
        <v>0</v>
      </c>
      <c r="J59" s="28">
        <f t="shared" si="4"/>
        <v>1.0498625000000001</v>
      </c>
      <c r="K59" s="2">
        <f t="shared" si="2"/>
        <v>1.0489250000000001</v>
      </c>
    </row>
    <row r="60" spans="1:11" x14ac:dyDescent="0.3">
      <c r="A60" s="1">
        <f t="shared" si="1"/>
        <v>580</v>
      </c>
      <c r="B60" s="5">
        <v>1129</v>
      </c>
      <c r="C60" s="3">
        <f>_25_3[[#This Row],[Tension '[V']]]/1000</f>
        <v>1.129</v>
      </c>
      <c r="D60" s="5">
        <v>376938</v>
      </c>
      <c r="E60" s="15"/>
      <c r="F60" s="3">
        <f>_25_3[[#This Row],[Corriente '[mA']]]/1000</f>
        <v>376.93799999999999</v>
      </c>
      <c r="G60" s="5">
        <v>42498703</v>
      </c>
      <c r="H60" s="4">
        <f>_25_3[[#This Row],[Potencia '[mW']]]/100000</f>
        <v>424.98703</v>
      </c>
      <c r="I60" s="5">
        <v>0</v>
      </c>
      <c r="J60" s="28">
        <f t="shared" si="4"/>
        <v>1.047952777777778</v>
      </c>
      <c r="K60" s="2">
        <f t="shared" si="2"/>
        <v>1.0470277777777779</v>
      </c>
    </row>
    <row r="61" spans="1:11" x14ac:dyDescent="0.3">
      <c r="A61" s="1">
        <f t="shared" si="1"/>
        <v>590</v>
      </c>
      <c r="B61" s="5">
        <v>1126</v>
      </c>
      <c r="C61" s="3">
        <f>_25_3[[#This Row],[Tension '[V']]]/1000</f>
        <v>1.1259999999999999</v>
      </c>
      <c r="D61" s="5">
        <v>376264</v>
      </c>
      <c r="E61" s="15"/>
      <c r="F61" s="3">
        <f>_25_3[[#This Row],[Corriente '[mA']]]/1000</f>
        <v>376.26400000000001</v>
      </c>
      <c r="G61" s="5">
        <v>42373706</v>
      </c>
      <c r="H61" s="4">
        <f>_25_3[[#This Row],[Potencia '[mW']]]/100000</f>
        <v>423.73705999999999</v>
      </c>
      <c r="I61" s="5">
        <v>0</v>
      </c>
      <c r="J61" s="28">
        <f t="shared" si="4"/>
        <v>1.046113888888889</v>
      </c>
      <c r="K61" s="2">
        <f t="shared" si="2"/>
        <v>1.0452231481481482</v>
      </c>
    </row>
    <row r="62" spans="1:11" x14ac:dyDescent="0.3">
      <c r="A62" s="1">
        <f t="shared" si="1"/>
        <v>600</v>
      </c>
      <c r="B62" s="5">
        <v>1125</v>
      </c>
      <c r="C62" s="3">
        <f>_25_3[[#This Row],[Tension '[V']]]/1000</f>
        <v>1.125</v>
      </c>
      <c r="D62" s="5">
        <v>375639</v>
      </c>
      <c r="E62" s="15"/>
      <c r="F62" s="3">
        <f>_25_3[[#This Row],[Corriente '[mA']]]/1000</f>
        <v>375.63900000000001</v>
      </c>
      <c r="G62" s="5">
        <v>42248712</v>
      </c>
      <c r="H62" s="4">
        <f>_25_3[[#This Row],[Potencia '[mW']]]/100000</f>
        <v>422.48712</v>
      </c>
      <c r="I62" s="5">
        <v>0</v>
      </c>
      <c r="J62" s="28">
        <f t="shared" si="4"/>
        <v>1.0443097222222222</v>
      </c>
      <c r="K62" s="2">
        <f t="shared" si="2"/>
        <v>1.0434648148148149</v>
      </c>
    </row>
    <row r="63" spans="1:11" x14ac:dyDescent="0.3">
      <c r="A63" s="1">
        <f t="shared" si="1"/>
        <v>610</v>
      </c>
      <c r="B63" s="5">
        <v>1122</v>
      </c>
      <c r="C63" s="3">
        <f>_25_3[[#This Row],[Tension '[V']]]/1000</f>
        <v>1.1220000000000001</v>
      </c>
      <c r="D63" s="5">
        <v>375039</v>
      </c>
      <c r="E63" s="15"/>
      <c r="F63" s="3">
        <f>_25_3[[#This Row],[Corriente '[mA']]]/1000</f>
        <v>375.03899999999999</v>
      </c>
      <c r="G63" s="5">
        <v>42061215</v>
      </c>
      <c r="H63" s="4">
        <f>_25_3[[#This Row],[Potencia '[mW']]]/100000</f>
        <v>420.61214999999999</v>
      </c>
      <c r="I63" s="5">
        <v>0</v>
      </c>
      <c r="J63" s="28">
        <f t="shared" si="4"/>
        <v>1.0426083333333334</v>
      </c>
      <c r="K63" s="2">
        <f t="shared" si="2"/>
        <v>1.0417749999999999</v>
      </c>
    </row>
    <row r="64" spans="1:11" x14ac:dyDescent="0.3">
      <c r="A64" s="1">
        <f t="shared" si="1"/>
        <v>620</v>
      </c>
      <c r="B64" s="5">
        <v>1120</v>
      </c>
      <c r="C64" s="3">
        <f>_25_3[[#This Row],[Tension '[V']]]/1000</f>
        <v>1.1200000000000001</v>
      </c>
      <c r="D64" s="5">
        <v>374439</v>
      </c>
      <c r="E64" s="15"/>
      <c r="F64" s="3">
        <f>_25_3[[#This Row],[Corriente '[mA']]]/1000</f>
        <v>374.43900000000002</v>
      </c>
      <c r="G64" s="5">
        <v>41998718</v>
      </c>
      <c r="H64" s="4">
        <f>_25_3[[#This Row],[Potencia '[mW']]]/100000</f>
        <v>419.98718000000002</v>
      </c>
      <c r="I64" s="5">
        <v>0</v>
      </c>
      <c r="J64" s="28">
        <f t="shared" si="4"/>
        <v>1.0409416666666669</v>
      </c>
      <c r="K64" s="2">
        <f t="shared" si="2"/>
        <v>1.0401314814814815</v>
      </c>
    </row>
    <row r="65" spans="1:11" x14ac:dyDescent="0.3">
      <c r="A65" s="1">
        <f t="shared" si="1"/>
        <v>630</v>
      </c>
      <c r="B65" s="5">
        <v>1119</v>
      </c>
      <c r="C65" s="3">
        <f>_25_3[[#This Row],[Tension '[V']]]/1000</f>
        <v>1.119</v>
      </c>
      <c r="D65" s="5">
        <v>373864</v>
      </c>
      <c r="E65" s="15"/>
      <c r="F65" s="3">
        <f>_25_3[[#This Row],[Corriente '[mA']]]/1000</f>
        <v>373.86399999999998</v>
      </c>
      <c r="G65" s="5">
        <v>41748724</v>
      </c>
      <c r="H65" s="4">
        <f>_25_3[[#This Row],[Potencia '[mW']]]/100000</f>
        <v>417.48723999999999</v>
      </c>
      <c r="I65" s="5">
        <v>0</v>
      </c>
      <c r="J65" s="28">
        <f t="shared" si="4"/>
        <v>1.0393097222222223</v>
      </c>
      <c r="K65" s="2">
        <f t="shared" si="2"/>
        <v>1.0385342592592592</v>
      </c>
    </row>
    <row r="66" spans="1:11" x14ac:dyDescent="0.3">
      <c r="A66" s="1">
        <f t="shared" si="1"/>
        <v>640</v>
      </c>
      <c r="B66" s="5">
        <v>1117</v>
      </c>
      <c r="C66" s="3">
        <f>_25_3[[#This Row],[Tension '[V']]]/1000</f>
        <v>1.117</v>
      </c>
      <c r="D66" s="5">
        <v>373314</v>
      </c>
      <c r="E66" s="15"/>
      <c r="F66" s="3">
        <f>_25_3[[#This Row],[Corriente '[mA']]]/1000</f>
        <v>373.31400000000002</v>
      </c>
      <c r="G66" s="5">
        <v>41686227</v>
      </c>
      <c r="H66" s="4">
        <f>_25_3[[#This Row],[Potencia '[mW']]]/100000</f>
        <v>416.86227000000002</v>
      </c>
      <c r="I66" s="5">
        <v>0</v>
      </c>
      <c r="J66" s="28">
        <f t="shared" ref="J66:J88" si="5">($A$3/3600)*((F65+F66)/2)</f>
        <v>1.0377472222222222</v>
      </c>
      <c r="K66" s="2">
        <f t="shared" si="2"/>
        <v>1.0369833333333334</v>
      </c>
    </row>
    <row r="67" spans="1:11" x14ac:dyDescent="0.3">
      <c r="A67" s="1">
        <f t="shared" si="1"/>
        <v>650</v>
      </c>
      <c r="B67" s="5">
        <v>1116</v>
      </c>
      <c r="C67" s="3">
        <f>_25_3[[#This Row],[Tension '[V']]]/1000</f>
        <v>1.1160000000000001</v>
      </c>
      <c r="D67" s="5">
        <v>372764</v>
      </c>
      <c r="E67" s="16">
        <f>(C68-C67)/(F67/1000)</f>
        <v>0.70017490959427386</v>
      </c>
      <c r="F67" s="3">
        <f>_25_3[[#This Row],[Corriente '[mA']]]/1000</f>
        <v>372.76400000000001</v>
      </c>
      <c r="G67" s="5">
        <v>41561230</v>
      </c>
      <c r="H67" s="4">
        <f>_25_3[[#This Row],[Potencia '[mW']]]/100000</f>
        <v>415.6123</v>
      </c>
      <c r="I67" s="5">
        <v>1</v>
      </c>
      <c r="J67" s="28">
        <f t="shared" si="5"/>
        <v>1.0362194444444444</v>
      </c>
      <c r="K67" s="2">
        <f t="shared" si="2"/>
        <v>0.69081296296296302</v>
      </c>
    </row>
    <row r="68" spans="1:11" x14ac:dyDescent="0.3">
      <c r="A68" s="1">
        <f t="shared" ref="A68:A88" si="6">A67+10</f>
        <v>660</v>
      </c>
      <c r="B68" s="5">
        <v>1377</v>
      </c>
      <c r="C68" s="3">
        <f>_25_3[[#This Row],[Tension '[V']]]/1000</f>
        <v>1.377</v>
      </c>
      <c r="D68" s="5">
        <v>0</v>
      </c>
      <c r="E68" s="15"/>
      <c r="F68" s="3">
        <f>_25_3[[#This Row],[Corriente '[mA']]]/1000</f>
        <v>0</v>
      </c>
      <c r="G68" s="5">
        <v>0</v>
      </c>
      <c r="H68" s="4">
        <f>_25_3[[#This Row],[Potencia '[mW']]]/100000</f>
        <v>0</v>
      </c>
      <c r="I68" s="5">
        <v>1</v>
      </c>
      <c r="J68" s="28">
        <f t="shared" si="5"/>
        <v>0.51772777777777779</v>
      </c>
      <c r="K68" s="2">
        <f t="shared" ref="K68:K88" si="7">($A$3/3600)*(F67/3+F68/3+F69/3)</f>
        <v>0.34515185185185188</v>
      </c>
    </row>
    <row r="69" spans="1:11" x14ac:dyDescent="0.3">
      <c r="A69" s="1">
        <f t="shared" si="6"/>
        <v>670</v>
      </c>
      <c r="B69" s="5">
        <v>1387</v>
      </c>
      <c r="C69" s="3">
        <f>_25_3[[#This Row],[Tension '[V']]]/1000</f>
        <v>1.387</v>
      </c>
      <c r="D69" s="5">
        <v>0</v>
      </c>
      <c r="E69" s="15"/>
      <c r="F69" s="3">
        <f>_25_3[[#This Row],[Corriente '[mA']]]/1000</f>
        <v>0</v>
      </c>
      <c r="G69" s="5">
        <v>0</v>
      </c>
      <c r="H69" s="4">
        <f>_25_3[[#This Row],[Potencia '[mW']]]/100000</f>
        <v>0</v>
      </c>
      <c r="I69" s="5">
        <v>1</v>
      </c>
      <c r="J69" s="28">
        <f t="shared" si="5"/>
        <v>0</v>
      </c>
      <c r="K69" s="2">
        <f t="shared" si="7"/>
        <v>0</v>
      </c>
    </row>
    <row r="70" spans="1:11" x14ac:dyDescent="0.3">
      <c r="A70" s="1">
        <f t="shared" si="6"/>
        <v>680</v>
      </c>
      <c r="B70" s="5">
        <v>1395</v>
      </c>
      <c r="C70" s="3">
        <f>_25_3[[#This Row],[Tension '[V']]]/1000</f>
        <v>1.395</v>
      </c>
      <c r="D70" s="5">
        <v>0</v>
      </c>
      <c r="E70" s="15"/>
      <c r="F70" s="3">
        <f>_25_3[[#This Row],[Corriente '[mA']]]/1000</f>
        <v>0</v>
      </c>
      <c r="G70" s="5">
        <v>0</v>
      </c>
      <c r="H70" s="4">
        <f>_25_3[[#This Row],[Potencia '[mW']]]/100000</f>
        <v>0</v>
      </c>
      <c r="I70" s="5">
        <v>1</v>
      </c>
      <c r="J70" s="28">
        <f t="shared" si="5"/>
        <v>0</v>
      </c>
      <c r="K70" s="2">
        <f t="shared" si="7"/>
        <v>0</v>
      </c>
    </row>
    <row r="71" spans="1:11" x14ac:dyDescent="0.3">
      <c r="A71" s="1">
        <f t="shared" si="6"/>
        <v>690</v>
      </c>
      <c r="B71" s="5">
        <v>1400</v>
      </c>
      <c r="C71" s="3">
        <f>_25_3[[#This Row],[Tension '[V']]]/1000</f>
        <v>1.4</v>
      </c>
      <c r="D71" s="5">
        <v>0</v>
      </c>
      <c r="E71" s="15"/>
      <c r="F71" s="3">
        <f>_25_3[[#This Row],[Corriente '[mA']]]/1000</f>
        <v>0</v>
      </c>
      <c r="G71" s="5">
        <v>0</v>
      </c>
      <c r="H71" s="4">
        <f>_25_3[[#This Row],[Potencia '[mW']]]/100000</f>
        <v>0</v>
      </c>
      <c r="I71" s="5">
        <v>1</v>
      </c>
      <c r="J71" s="28">
        <f t="shared" si="5"/>
        <v>0</v>
      </c>
      <c r="K71" s="2">
        <f t="shared" si="7"/>
        <v>0</v>
      </c>
    </row>
    <row r="72" spans="1:11" x14ac:dyDescent="0.3">
      <c r="A72" s="1">
        <f t="shared" si="6"/>
        <v>700</v>
      </c>
      <c r="B72" s="5">
        <v>1404</v>
      </c>
      <c r="C72" s="3">
        <f>_25_3[[#This Row],[Tension '[V']]]/1000</f>
        <v>1.4039999999999999</v>
      </c>
      <c r="D72" s="5">
        <v>0</v>
      </c>
      <c r="E72" s="15"/>
      <c r="F72" s="3">
        <f>_25_3[[#This Row],[Corriente '[mA']]]/1000</f>
        <v>0</v>
      </c>
      <c r="G72" s="5">
        <v>0</v>
      </c>
      <c r="H72" s="4">
        <f>_25_3[[#This Row],[Potencia '[mW']]]/100000</f>
        <v>0</v>
      </c>
      <c r="I72" s="5">
        <v>1</v>
      </c>
      <c r="J72" s="28">
        <f t="shared" si="5"/>
        <v>0</v>
      </c>
      <c r="K72" s="2">
        <f t="shared" si="7"/>
        <v>0</v>
      </c>
    </row>
    <row r="73" spans="1:11" x14ac:dyDescent="0.3">
      <c r="A73" s="1">
        <f t="shared" si="6"/>
        <v>710</v>
      </c>
      <c r="B73" s="5">
        <v>1406</v>
      </c>
      <c r="C73" s="3">
        <f>_25_3[[#This Row],[Tension '[V']]]/1000</f>
        <v>1.4059999999999999</v>
      </c>
      <c r="D73" s="5">
        <v>0</v>
      </c>
      <c r="E73" s="15"/>
      <c r="F73" s="3">
        <f>_25_3[[#This Row],[Corriente '[mA']]]/1000</f>
        <v>0</v>
      </c>
      <c r="G73" s="5">
        <v>0</v>
      </c>
      <c r="H73" s="4">
        <f>_25_3[[#This Row],[Potencia '[mW']]]/100000</f>
        <v>0</v>
      </c>
      <c r="I73" s="5">
        <v>0</v>
      </c>
      <c r="J73" s="28">
        <f t="shared" si="5"/>
        <v>0</v>
      </c>
      <c r="K73" s="2">
        <f t="shared" si="7"/>
        <v>0.35223425925925927</v>
      </c>
    </row>
    <row r="74" spans="1:11" x14ac:dyDescent="0.3">
      <c r="A74" s="1">
        <f t="shared" si="6"/>
        <v>720</v>
      </c>
      <c r="B74" s="5">
        <v>1139</v>
      </c>
      <c r="C74" s="3">
        <f>_25_3[[#This Row],[Tension '[V']]]/1000</f>
        <v>1.139</v>
      </c>
      <c r="D74" s="5">
        <v>380413</v>
      </c>
      <c r="E74" s="16">
        <f>(C73-C74)/(F74/1000)</f>
        <v>0.70186875842833951</v>
      </c>
      <c r="F74" s="3">
        <f>_25_3[[#This Row],[Corriente '[mA']]]/1000</f>
        <v>380.41300000000001</v>
      </c>
      <c r="G74" s="5">
        <v>43311178</v>
      </c>
      <c r="H74" s="4">
        <f>_25_3[[#This Row],[Potencia '[mW']]]/100000</f>
        <v>433.11178000000001</v>
      </c>
      <c r="I74" s="5">
        <v>0</v>
      </c>
      <c r="J74" s="28">
        <f t="shared" si="5"/>
        <v>0.52835138888888888</v>
      </c>
      <c r="K74" s="2">
        <f t="shared" si="7"/>
        <v>0.70169074074074078</v>
      </c>
    </row>
    <row r="75" spans="1:11" x14ac:dyDescent="0.3">
      <c r="A75" s="1">
        <f t="shared" si="6"/>
        <v>730</v>
      </c>
      <c r="B75" s="5">
        <v>1130</v>
      </c>
      <c r="C75" s="3">
        <f>_25_3[[#This Row],[Tension '[V']]]/1000</f>
        <v>1.1299999999999999</v>
      </c>
      <c r="D75" s="5">
        <v>377413</v>
      </c>
      <c r="E75" s="15"/>
      <c r="F75" s="3">
        <f>_25_3[[#This Row],[Corriente '[mA']]]/1000</f>
        <v>377.41300000000001</v>
      </c>
      <c r="G75" s="5">
        <v>42623699</v>
      </c>
      <c r="H75" s="4">
        <f>_25_3[[#This Row],[Potencia '[mW']]]/100000</f>
        <v>426.23698999999999</v>
      </c>
      <c r="I75" s="5">
        <v>0</v>
      </c>
      <c r="J75" s="28">
        <f t="shared" si="5"/>
        <v>1.0525361111111111</v>
      </c>
      <c r="K75" s="2">
        <f t="shared" si="7"/>
        <v>1.0493657407407406</v>
      </c>
    </row>
    <row r="76" spans="1:11" x14ac:dyDescent="0.3">
      <c r="A76" s="1">
        <f t="shared" si="6"/>
        <v>740</v>
      </c>
      <c r="B76" s="5">
        <v>1124</v>
      </c>
      <c r="C76" s="3">
        <f>_25_3[[#This Row],[Tension '[V']]]/1000</f>
        <v>1.1240000000000001</v>
      </c>
      <c r="D76" s="5">
        <v>375489</v>
      </c>
      <c r="E76" s="15"/>
      <c r="F76" s="3">
        <f>_25_3[[#This Row],[Corriente '[mA']]]/1000</f>
        <v>375.48899999999998</v>
      </c>
      <c r="G76" s="5">
        <v>42186212</v>
      </c>
      <c r="H76" s="4">
        <f>_25_3[[#This Row],[Potencia '[mW']]]/100000</f>
        <v>421.86212</v>
      </c>
      <c r="I76" s="5">
        <v>0</v>
      </c>
      <c r="J76" s="28">
        <f t="shared" si="5"/>
        <v>1.0456972222222223</v>
      </c>
      <c r="K76" s="2">
        <f t="shared" si="7"/>
        <v>1.043487037037037</v>
      </c>
    </row>
    <row r="77" spans="1:11" x14ac:dyDescent="0.3">
      <c r="A77" s="1">
        <f t="shared" si="6"/>
        <v>750</v>
      </c>
      <c r="B77" s="5">
        <v>1120</v>
      </c>
      <c r="C77" s="3">
        <f>_25_3[[#This Row],[Tension '[V']]]/1000</f>
        <v>1.1200000000000001</v>
      </c>
      <c r="D77" s="5">
        <v>374064</v>
      </c>
      <c r="E77" s="15"/>
      <c r="F77" s="3">
        <f>_25_3[[#This Row],[Corriente '[mA']]]/1000</f>
        <v>374.06400000000002</v>
      </c>
      <c r="G77" s="5">
        <v>41873721</v>
      </c>
      <c r="H77" s="4">
        <f>_25_3[[#This Row],[Potencia '[mW']]]/100000</f>
        <v>418.73721</v>
      </c>
      <c r="I77" s="5">
        <v>0</v>
      </c>
      <c r="J77" s="28">
        <f t="shared" si="5"/>
        <v>1.0410458333333334</v>
      </c>
      <c r="K77" s="2">
        <f t="shared" si="7"/>
        <v>1.0393212962962963</v>
      </c>
    </row>
    <row r="78" spans="1:11" x14ac:dyDescent="0.3">
      <c r="A78" s="1">
        <f t="shared" si="6"/>
        <v>760</v>
      </c>
      <c r="B78" s="5">
        <v>1116</v>
      </c>
      <c r="C78" s="3">
        <f>_25_3[[#This Row],[Tension '[V']]]/1000</f>
        <v>1.1160000000000001</v>
      </c>
      <c r="D78" s="5">
        <v>372914</v>
      </c>
      <c r="E78" s="15"/>
      <c r="F78" s="3">
        <f>_25_3[[#This Row],[Corriente '[mA']]]/1000</f>
        <v>372.91399999999999</v>
      </c>
      <c r="G78" s="5">
        <v>41561230</v>
      </c>
      <c r="H78" s="4">
        <f>_25_3[[#This Row],[Potencia '[mW']]]/100000</f>
        <v>415.6123</v>
      </c>
      <c r="I78" s="5">
        <v>0</v>
      </c>
      <c r="J78" s="28">
        <f t="shared" si="5"/>
        <v>1.0374694444444446</v>
      </c>
      <c r="K78" s="2">
        <f t="shared" si="7"/>
        <v>1.0360342592592593</v>
      </c>
    </row>
    <row r="79" spans="1:11" x14ac:dyDescent="0.3">
      <c r="A79" s="1">
        <f t="shared" si="6"/>
        <v>770</v>
      </c>
      <c r="B79" s="5">
        <v>1114</v>
      </c>
      <c r="C79" s="3">
        <f>_25_3[[#This Row],[Tension '[V']]]/1000</f>
        <v>1.1140000000000001</v>
      </c>
      <c r="D79" s="5">
        <v>371939</v>
      </c>
      <c r="E79" s="15"/>
      <c r="F79" s="3">
        <f>_25_3[[#This Row],[Corriente '[mA']]]/1000</f>
        <v>371.93900000000002</v>
      </c>
      <c r="G79" s="5">
        <v>41373736</v>
      </c>
      <c r="H79" s="4">
        <f>_25_3[[#This Row],[Potencia '[mW']]]/100000</f>
        <v>413.73736000000002</v>
      </c>
      <c r="I79" s="5">
        <v>0</v>
      </c>
      <c r="J79" s="28">
        <f t="shared" si="5"/>
        <v>1.0345180555555558</v>
      </c>
      <c r="K79" s="2">
        <f t="shared" si="7"/>
        <v>1.0332333333333334</v>
      </c>
    </row>
    <row r="80" spans="1:11" x14ac:dyDescent="0.3">
      <c r="A80" s="1">
        <f t="shared" si="6"/>
        <v>780</v>
      </c>
      <c r="B80" s="5">
        <v>1111</v>
      </c>
      <c r="C80" s="3">
        <f>_25_3[[#This Row],[Tension '[V']]]/1000</f>
        <v>1.111</v>
      </c>
      <c r="D80" s="5">
        <v>371039</v>
      </c>
      <c r="E80" s="15"/>
      <c r="F80" s="3">
        <f>_25_3[[#This Row],[Corriente '[mA']]]/1000</f>
        <v>371.03899999999999</v>
      </c>
      <c r="G80" s="5">
        <v>41248742</v>
      </c>
      <c r="H80" s="4">
        <f>_25_3[[#This Row],[Potencia '[mW']]]/100000</f>
        <v>412.48741999999999</v>
      </c>
      <c r="I80" s="5">
        <v>0</v>
      </c>
      <c r="J80" s="28">
        <f t="shared" si="5"/>
        <v>1.031913888888889</v>
      </c>
      <c r="K80" s="2">
        <f t="shared" si="7"/>
        <v>1.0307564814814816</v>
      </c>
    </row>
    <row r="81" spans="1:11" x14ac:dyDescent="0.3">
      <c r="A81" s="1">
        <f t="shared" si="6"/>
        <v>790</v>
      </c>
      <c r="B81" s="5">
        <v>1109</v>
      </c>
      <c r="C81" s="3">
        <f>_25_3[[#This Row],[Tension '[V']]]/1000</f>
        <v>1.109</v>
      </c>
      <c r="D81" s="5">
        <v>370239</v>
      </c>
      <c r="E81" s="15"/>
      <c r="F81" s="3">
        <f>_25_3[[#This Row],[Corriente '[mA']]]/1000</f>
        <v>370.23899999999998</v>
      </c>
      <c r="G81" s="5">
        <v>41061245</v>
      </c>
      <c r="H81" s="4">
        <f>_25_3[[#This Row],[Potencia '[mW']]]/100000</f>
        <v>410.61245000000002</v>
      </c>
      <c r="I81" s="5">
        <v>0</v>
      </c>
      <c r="J81" s="28">
        <f t="shared" si="5"/>
        <v>1.0295527777777778</v>
      </c>
      <c r="K81" s="2">
        <f t="shared" si="7"/>
        <v>1.0285342592592592</v>
      </c>
    </row>
    <row r="82" spans="1:11" x14ac:dyDescent="0.3">
      <c r="A82" s="1">
        <f t="shared" si="6"/>
        <v>800</v>
      </c>
      <c r="B82" s="5">
        <v>1106</v>
      </c>
      <c r="C82" s="3">
        <f>_25_3[[#This Row],[Tension '[V']]]/1000</f>
        <v>1.1060000000000001</v>
      </c>
      <c r="D82" s="5">
        <v>369539</v>
      </c>
      <c r="E82" s="15"/>
      <c r="F82" s="3">
        <f>_25_3[[#This Row],[Corriente '[mA']]]/1000</f>
        <v>369.53899999999999</v>
      </c>
      <c r="G82" s="5">
        <v>40873751</v>
      </c>
      <c r="H82" s="4">
        <f>_25_3[[#This Row],[Potencia '[mW']]]/100000</f>
        <v>408.73750999999999</v>
      </c>
      <c r="I82" s="5">
        <v>0</v>
      </c>
      <c r="J82" s="28">
        <f t="shared" si="5"/>
        <v>1.0274694444444445</v>
      </c>
      <c r="K82" s="2">
        <f t="shared" si="7"/>
        <v>1.0264972222222222</v>
      </c>
    </row>
    <row r="83" spans="1:11" x14ac:dyDescent="0.3">
      <c r="A83" s="1">
        <f t="shared" si="6"/>
        <v>810</v>
      </c>
      <c r="B83" s="5">
        <v>1104</v>
      </c>
      <c r="C83" s="3">
        <f>_25_3[[#This Row],[Tension '[V']]]/1000</f>
        <v>1.1040000000000001</v>
      </c>
      <c r="D83" s="5">
        <v>368839</v>
      </c>
      <c r="E83" s="15"/>
      <c r="F83" s="3">
        <f>_25_3[[#This Row],[Corriente '[mA']]]/1000</f>
        <v>368.839</v>
      </c>
      <c r="G83" s="5">
        <v>40748754</v>
      </c>
      <c r="H83" s="4">
        <f>_25_3[[#This Row],[Potencia '[mW']]]/100000</f>
        <v>407.48754000000002</v>
      </c>
      <c r="I83" s="5">
        <v>0</v>
      </c>
      <c r="J83" s="28">
        <f t="shared" si="5"/>
        <v>1.025525</v>
      </c>
      <c r="K83" s="2">
        <f t="shared" si="7"/>
        <v>1.0246222222222221</v>
      </c>
    </row>
    <row r="84" spans="1:11" x14ac:dyDescent="0.3">
      <c r="A84" s="1">
        <f t="shared" si="6"/>
        <v>820</v>
      </c>
      <c r="B84" s="5">
        <v>1102</v>
      </c>
      <c r="C84" s="3">
        <f>_25_3[[#This Row],[Tension '[V']]]/1000</f>
        <v>1.1020000000000001</v>
      </c>
      <c r="D84" s="5">
        <v>368214</v>
      </c>
      <c r="E84" s="15"/>
      <c r="F84" s="3">
        <f>_25_3[[#This Row],[Corriente '[mA']]]/1000</f>
        <v>368.214</v>
      </c>
      <c r="G84" s="5">
        <v>40561260</v>
      </c>
      <c r="H84" s="4">
        <f>_25_3[[#This Row],[Potencia '[mW']]]/100000</f>
        <v>405.61259999999999</v>
      </c>
      <c r="I84" s="5">
        <v>0</v>
      </c>
      <c r="J84" s="28">
        <f t="shared" si="5"/>
        <v>1.0236847222222223</v>
      </c>
      <c r="K84" s="2">
        <f t="shared" si="7"/>
        <v>1.0228166666666667</v>
      </c>
    </row>
    <row r="85" spans="1:11" x14ac:dyDescent="0.3">
      <c r="A85" s="1">
        <f t="shared" si="6"/>
        <v>830</v>
      </c>
      <c r="B85" s="5">
        <v>1100</v>
      </c>
      <c r="C85" s="3">
        <f>_25_3[[#This Row],[Tension '[V']]]/1000</f>
        <v>1.1000000000000001</v>
      </c>
      <c r="D85" s="5">
        <v>367589</v>
      </c>
      <c r="E85" s="15"/>
      <c r="F85" s="3">
        <f>_25_3[[#This Row],[Corriente '[mA']]]/1000</f>
        <v>367.589</v>
      </c>
      <c r="G85" s="5">
        <v>40436267</v>
      </c>
      <c r="H85" s="4">
        <f>_25_3[[#This Row],[Potencia '[mW']]]/100000</f>
        <v>404.36266999999998</v>
      </c>
      <c r="I85" s="5">
        <v>0</v>
      </c>
      <c r="J85" s="28">
        <f t="shared" si="5"/>
        <v>1.0219486111111111</v>
      </c>
      <c r="K85" s="2">
        <f t="shared" si="7"/>
        <v>0.6812990740740742</v>
      </c>
    </row>
    <row r="86" spans="1:11" x14ac:dyDescent="0.3">
      <c r="A86" s="6">
        <f t="shared" si="6"/>
        <v>840</v>
      </c>
      <c r="B86" s="7">
        <v>14062</v>
      </c>
      <c r="C86" s="8">
        <f>_25_3[[#This Row],[Tension '[V']]]/10000</f>
        <v>1.4061999999999999</v>
      </c>
      <c r="D86" s="7">
        <v>0</v>
      </c>
      <c r="E86" s="17"/>
      <c r="F86" s="8">
        <f>_25_3[[#This Row],[Corriente '[mA']]]/1000</f>
        <v>0</v>
      </c>
      <c r="G86" s="7">
        <v>0</v>
      </c>
      <c r="H86" s="9">
        <f>_25_3[[#This Row],[Potencia '[mW']]]/100000</f>
        <v>0</v>
      </c>
      <c r="I86" s="7">
        <v>0</v>
      </c>
      <c r="J86" s="28">
        <f t="shared" si="5"/>
        <v>0.51054027777777777</v>
      </c>
      <c r="K86" s="2">
        <f t="shared" si="7"/>
        <v>0.34036018518518524</v>
      </c>
    </row>
    <row r="87" spans="1:11" x14ac:dyDescent="0.3">
      <c r="A87" s="6">
        <f t="shared" si="6"/>
        <v>850</v>
      </c>
      <c r="B87" s="7">
        <v>14062</v>
      </c>
      <c r="C87" s="8">
        <f>_25_3[[#This Row],[Tension '[V']]]/10000</f>
        <v>1.4061999999999999</v>
      </c>
      <c r="D87" s="7">
        <v>0</v>
      </c>
      <c r="E87" s="17"/>
      <c r="F87" s="8">
        <f>_25_3[[#This Row],[Corriente '[mA']]]/1000</f>
        <v>0</v>
      </c>
      <c r="G87" s="7">
        <v>0</v>
      </c>
      <c r="H87" s="9">
        <f>_25_3[[#This Row],[Potencia '[mW']]]/100000</f>
        <v>0</v>
      </c>
      <c r="I87" s="7">
        <v>0</v>
      </c>
      <c r="J87" s="28">
        <f t="shared" si="5"/>
        <v>0</v>
      </c>
      <c r="K87" s="2">
        <f t="shared" si="7"/>
        <v>0</v>
      </c>
    </row>
    <row r="88" spans="1:11" x14ac:dyDescent="0.3">
      <c r="A88" s="6">
        <f t="shared" si="6"/>
        <v>860</v>
      </c>
      <c r="B88" s="7">
        <v>14062</v>
      </c>
      <c r="C88" s="8">
        <f>_25_3[[#This Row],[Tension '[V']]]/10000</f>
        <v>1.4061999999999999</v>
      </c>
      <c r="D88" s="7">
        <v>0</v>
      </c>
      <c r="E88" s="17"/>
      <c r="F88" s="8">
        <f>_25_3[[#This Row],[Corriente '[mA']]]/1000</f>
        <v>0</v>
      </c>
      <c r="G88" s="7">
        <v>0</v>
      </c>
      <c r="H88" s="9">
        <f>_25_3[[#This Row],[Potencia '[mW']]]/100000</f>
        <v>0</v>
      </c>
      <c r="I88" s="7">
        <v>0</v>
      </c>
      <c r="J88" s="28">
        <f t="shared" si="5"/>
        <v>0</v>
      </c>
      <c r="K88" s="2">
        <f t="shared" si="7"/>
        <v>0.35900863247863246</v>
      </c>
    </row>
    <row r="89" spans="1:11" ht="15" thickBot="1" x14ac:dyDescent="0.35">
      <c r="A89" s="20">
        <f>(A85-(A73-A68)-(A49-A44)-(A25-A20))/3600</f>
        <v>0.18888888888888888</v>
      </c>
      <c r="C89" s="24"/>
      <c r="E89" s="18"/>
      <c r="F89" s="20">
        <f>AVERAGEIF(_25_3[Corriente '[mA']2],"&gt;0")</f>
        <v>387.72932307692304</v>
      </c>
      <c r="H89" s="19"/>
      <c r="J89" s="22">
        <f>_25_3[[#Totals],[Corriente '[mA']2]]*_25_3[[#Totals],[Tiempo '[s']]]</f>
        <v>73.237761025641021</v>
      </c>
      <c r="K89" s="23" t="s">
        <v>10</v>
      </c>
    </row>
    <row r="90" spans="1:11" ht="15.6" thickTop="1" thickBot="1" x14ac:dyDescent="0.35">
      <c r="C90" s="25"/>
      <c r="J90" s="26">
        <f>SUM(_25_3[CmAh])</f>
        <v>70.006683333333385</v>
      </c>
      <c r="K90" s="27" t="s">
        <v>10</v>
      </c>
    </row>
    <row r="91" spans="1:11" ht="15" thickTop="1" x14ac:dyDescent="0.3">
      <c r="J91" s="30">
        <f>SUM(_25_3[Columna2])</f>
        <v>69.971722521367525</v>
      </c>
      <c r="K91" s="29" t="s">
        <v>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63B76-F2F6-44AF-8754-C1B185263F2F}">
  <dimension ref="A1:M67"/>
  <sheetViews>
    <sheetView tabSelected="1" workbookViewId="0">
      <selection activeCell="H1" sqref="H1:M18"/>
    </sheetView>
  </sheetViews>
  <sheetFormatPr baseColWidth="10" defaultRowHeight="14.4" x14ac:dyDescent="0.3"/>
  <cols>
    <col min="8" max="8" width="15.5546875" bestFit="1" customWidth="1"/>
    <col min="9" max="13" width="11.6640625" bestFit="1" customWidth="1"/>
  </cols>
  <sheetData>
    <row r="1" spans="1:13" x14ac:dyDescent="0.3">
      <c r="A1" t="s">
        <v>13</v>
      </c>
      <c r="H1" s="33" t="s">
        <v>19</v>
      </c>
      <c r="I1" s="33" t="s">
        <v>0</v>
      </c>
      <c r="J1" s="33" t="s">
        <v>1</v>
      </c>
      <c r="K1" s="33" t="s">
        <v>2</v>
      </c>
      <c r="L1" s="33" t="s">
        <v>3</v>
      </c>
      <c r="M1" s="33" t="s">
        <v>4</v>
      </c>
    </row>
    <row r="2" spans="1:13" x14ac:dyDescent="0.3">
      <c r="A2" s="31">
        <v>45989.671180555553</v>
      </c>
      <c r="B2">
        <v>2</v>
      </c>
      <c r="C2" s="32">
        <v>14025</v>
      </c>
      <c r="D2" t="s">
        <v>14</v>
      </c>
      <c r="E2" t="s">
        <v>15</v>
      </c>
      <c r="F2">
        <v>0</v>
      </c>
      <c r="H2" s="34">
        <v>45989.716111111113</v>
      </c>
      <c r="I2" s="33">
        <v>2</v>
      </c>
      <c r="J2" s="35">
        <v>12750</v>
      </c>
      <c r="K2" s="33" t="s">
        <v>14</v>
      </c>
      <c r="L2" s="33" t="s">
        <v>15</v>
      </c>
      <c r="M2" s="33">
        <v>0</v>
      </c>
    </row>
    <row r="3" spans="1:13" x14ac:dyDescent="0.3">
      <c r="A3" s="31">
        <v>45989.671296296299</v>
      </c>
      <c r="B3">
        <v>12</v>
      </c>
      <c r="C3" s="32">
        <v>13975</v>
      </c>
      <c r="D3" t="s">
        <v>14</v>
      </c>
      <c r="E3" t="s">
        <v>15</v>
      </c>
      <c r="F3">
        <v>0</v>
      </c>
      <c r="H3" s="34">
        <v>45989.716226851851</v>
      </c>
      <c r="I3" s="33">
        <v>12</v>
      </c>
      <c r="J3" s="35">
        <v>12762</v>
      </c>
      <c r="K3" s="33" t="s">
        <v>14</v>
      </c>
      <c r="L3" s="33" t="s">
        <v>15</v>
      </c>
      <c r="M3" s="33">
        <v>0</v>
      </c>
    </row>
    <row r="4" spans="1:13" x14ac:dyDescent="0.3">
      <c r="A4" s="31">
        <v>45989.671412037038</v>
      </c>
      <c r="B4">
        <v>22</v>
      </c>
      <c r="C4" s="32">
        <v>13975</v>
      </c>
      <c r="D4" t="s">
        <v>14</v>
      </c>
      <c r="E4" t="s">
        <v>15</v>
      </c>
      <c r="F4">
        <v>0</v>
      </c>
      <c r="H4" s="34">
        <v>45989.71634259259</v>
      </c>
      <c r="I4" s="33">
        <v>22</v>
      </c>
      <c r="J4" s="35">
        <v>12812</v>
      </c>
      <c r="K4" s="33" t="s">
        <v>14</v>
      </c>
      <c r="L4" s="33" t="s">
        <v>15</v>
      </c>
      <c r="M4" s="33">
        <v>0</v>
      </c>
    </row>
    <row r="5" spans="1:13" x14ac:dyDescent="0.3">
      <c r="A5" s="31">
        <v>45989.671527777777</v>
      </c>
      <c r="B5">
        <v>32</v>
      </c>
      <c r="C5" s="32">
        <v>13937</v>
      </c>
      <c r="D5" t="s">
        <v>14</v>
      </c>
      <c r="E5" t="s">
        <v>15</v>
      </c>
      <c r="F5">
        <v>0</v>
      </c>
      <c r="H5" s="34">
        <v>45989.716458333336</v>
      </c>
      <c r="I5" s="33">
        <v>32</v>
      </c>
      <c r="J5" s="35">
        <v>12775</v>
      </c>
      <c r="K5" s="33" t="s">
        <v>14</v>
      </c>
      <c r="L5" s="33" t="s">
        <v>15</v>
      </c>
      <c r="M5" s="33">
        <v>0</v>
      </c>
    </row>
    <row r="6" spans="1:13" x14ac:dyDescent="0.3">
      <c r="A6" s="31">
        <v>45989.671643518515</v>
      </c>
      <c r="B6">
        <v>42</v>
      </c>
      <c r="C6" s="32">
        <v>11087</v>
      </c>
      <c r="D6" s="32">
        <v>3732636</v>
      </c>
      <c r="E6" s="32">
        <v>413737365</v>
      </c>
      <c r="F6">
        <v>0</v>
      </c>
      <c r="H6" s="34">
        <v>45989.716574074075</v>
      </c>
      <c r="I6" s="33">
        <v>42</v>
      </c>
      <c r="J6" s="35">
        <v>12812</v>
      </c>
      <c r="K6" s="33" t="s">
        <v>14</v>
      </c>
      <c r="L6" s="33" t="s">
        <v>15</v>
      </c>
      <c r="M6" s="33">
        <v>0</v>
      </c>
    </row>
    <row r="7" spans="1:13" x14ac:dyDescent="0.3">
      <c r="A7" s="31">
        <v>45989.671759259261</v>
      </c>
      <c r="B7">
        <v>52</v>
      </c>
      <c r="C7" s="32">
        <v>10950</v>
      </c>
      <c r="D7" s="32">
        <v>3681638</v>
      </c>
      <c r="E7" s="32">
        <v>403737670</v>
      </c>
      <c r="F7">
        <v>0</v>
      </c>
      <c r="H7" s="34">
        <v>45989.716689814813</v>
      </c>
      <c r="I7" s="33">
        <v>52</v>
      </c>
      <c r="J7" s="35">
        <v>12775</v>
      </c>
      <c r="K7" s="33" t="s">
        <v>14</v>
      </c>
      <c r="L7" s="33" t="s">
        <v>15</v>
      </c>
      <c r="M7" s="33">
        <v>0</v>
      </c>
    </row>
    <row r="8" spans="1:13" x14ac:dyDescent="0.3">
      <c r="A8" s="31">
        <v>45989.671875</v>
      </c>
      <c r="B8">
        <v>62</v>
      </c>
      <c r="C8" s="32">
        <v>10875</v>
      </c>
      <c r="D8" s="32">
        <v>3650888</v>
      </c>
      <c r="E8" s="32">
        <v>397487854</v>
      </c>
      <c r="F8">
        <v>0</v>
      </c>
      <c r="H8" s="34">
        <v>45989.716805555552</v>
      </c>
      <c r="I8" s="33">
        <v>62</v>
      </c>
      <c r="J8" s="35">
        <v>12825</v>
      </c>
      <c r="K8" s="33" t="s">
        <v>14</v>
      </c>
      <c r="L8" s="33" t="s">
        <v>15</v>
      </c>
      <c r="M8" s="33">
        <v>0</v>
      </c>
    </row>
    <row r="9" spans="1:13" x14ac:dyDescent="0.3">
      <c r="A9" s="31">
        <v>45989.671990740739</v>
      </c>
      <c r="B9">
        <v>72</v>
      </c>
      <c r="C9" s="32">
        <v>10850</v>
      </c>
      <c r="D9" s="32">
        <v>3627639</v>
      </c>
      <c r="E9" s="32">
        <v>393113006</v>
      </c>
      <c r="F9">
        <v>0</v>
      </c>
      <c r="H9" s="34">
        <v>45989.716921296298</v>
      </c>
      <c r="I9" s="33">
        <v>72</v>
      </c>
      <c r="J9" s="35">
        <v>12787</v>
      </c>
      <c r="K9" s="33" t="s">
        <v>14</v>
      </c>
      <c r="L9" s="33" t="s">
        <v>15</v>
      </c>
      <c r="M9" s="33">
        <v>0</v>
      </c>
    </row>
    <row r="10" spans="1:13" x14ac:dyDescent="0.3">
      <c r="A10" s="31">
        <v>45989.672106481485</v>
      </c>
      <c r="B10">
        <v>82</v>
      </c>
      <c r="C10" s="32">
        <v>10800</v>
      </c>
      <c r="D10" s="32">
        <v>3609140</v>
      </c>
      <c r="E10" s="32">
        <v>389988098</v>
      </c>
      <c r="F10">
        <v>0</v>
      </c>
      <c r="H10" s="34">
        <v>45989.717037037037</v>
      </c>
      <c r="I10" s="33">
        <v>82</v>
      </c>
      <c r="J10" s="35">
        <v>12787</v>
      </c>
      <c r="K10" s="33" t="s">
        <v>14</v>
      </c>
      <c r="L10" s="33" t="s">
        <v>15</v>
      </c>
      <c r="M10" s="33">
        <v>0</v>
      </c>
    </row>
    <row r="11" spans="1:13" x14ac:dyDescent="0.3">
      <c r="A11" s="31">
        <v>45989.672222222223</v>
      </c>
      <c r="B11">
        <v>92</v>
      </c>
      <c r="C11" s="32">
        <v>10750</v>
      </c>
      <c r="D11" s="32">
        <v>3593140</v>
      </c>
      <c r="E11" s="32">
        <v>386238220</v>
      </c>
      <c r="F11">
        <v>0</v>
      </c>
      <c r="H11" s="34">
        <v>45989.717152777775</v>
      </c>
      <c r="I11" s="33">
        <v>92</v>
      </c>
      <c r="J11" s="35">
        <v>12787</v>
      </c>
      <c r="K11" s="33" t="s">
        <v>14</v>
      </c>
      <c r="L11" s="33" t="s">
        <v>15</v>
      </c>
      <c r="M11" s="33">
        <v>0</v>
      </c>
    </row>
    <row r="12" spans="1:13" x14ac:dyDescent="0.3">
      <c r="A12" s="31">
        <v>45989.672337962962</v>
      </c>
      <c r="B12">
        <v>102</v>
      </c>
      <c r="C12" s="32">
        <v>10700</v>
      </c>
      <c r="D12" s="32">
        <v>3579141</v>
      </c>
      <c r="E12" s="32">
        <v>383113311</v>
      </c>
      <c r="F12">
        <v>0</v>
      </c>
      <c r="H12" s="34">
        <v>45989.717268518521</v>
      </c>
      <c r="I12" s="33">
        <v>102</v>
      </c>
      <c r="J12" s="33" t="s">
        <v>20</v>
      </c>
      <c r="K12" s="35">
        <v>3316149</v>
      </c>
      <c r="L12" s="35">
        <v>319365264</v>
      </c>
      <c r="M12" s="33">
        <v>0</v>
      </c>
    </row>
    <row r="13" spans="1:13" x14ac:dyDescent="0.3">
      <c r="A13" s="31">
        <v>45989.672453703701</v>
      </c>
      <c r="B13">
        <v>112</v>
      </c>
      <c r="C13" s="32">
        <v>10662</v>
      </c>
      <c r="D13" s="32">
        <v>3566141</v>
      </c>
      <c r="E13" s="32">
        <v>379988403</v>
      </c>
      <c r="F13">
        <v>0</v>
      </c>
      <c r="H13" s="34">
        <v>45989.71738425926</v>
      </c>
      <c r="I13" s="33">
        <v>112</v>
      </c>
      <c r="J13" s="33" t="s">
        <v>21</v>
      </c>
      <c r="K13" s="35">
        <v>3226902</v>
      </c>
      <c r="L13" s="35">
        <v>303740722</v>
      </c>
      <c r="M13" s="33">
        <v>0</v>
      </c>
    </row>
    <row r="14" spans="1:13" x14ac:dyDescent="0.3">
      <c r="A14" s="31">
        <v>45989.672569444447</v>
      </c>
      <c r="B14">
        <v>122</v>
      </c>
      <c r="C14" s="32">
        <v>10625</v>
      </c>
      <c r="D14" s="32">
        <v>3554891</v>
      </c>
      <c r="E14" s="32">
        <v>378113464</v>
      </c>
      <c r="F14">
        <v>0</v>
      </c>
      <c r="H14" s="34">
        <v>45989.717511574076</v>
      </c>
      <c r="I14" s="33">
        <v>122</v>
      </c>
      <c r="J14" s="33" t="s">
        <v>22</v>
      </c>
      <c r="K14" s="35">
        <v>3167403</v>
      </c>
      <c r="L14" s="35">
        <v>291241119</v>
      </c>
      <c r="M14" s="33">
        <v>0</v>
      </c>
    </row>
    <row r="15" spans="1:13" x14ac:dyDescent="0.3">
      <c r="A15" s="31">
        <v>45989.672685185185</v>
      </c>
      <c r="B15">
        <v>132</v>
      </c>
      <c r="C15" s="32">
        <v>10600</v>
      </c>
      <c r="D15" s="32">
        <v>3544392</v>
      </c>
      <c r="E15" s="32">
        <v>375613525</v>
      </c>
      <c r="F15">
        <v>0</v>
      </c>
      <c r="H15" s="34">
        <v>45989.717627314814</v>
      </c>
      <c r="I15" s="33">
        <v>132</v>
      </c>
      <c r="J15" s="33" t="s">
        <v>23</v>
      </c>
      <c r="K15" s="35">
        <v>3112405</v>
      </c>
      <c r="L15" s="35">
        <v>281241424</v>
      </c>
      <c r="M15" s="33">
        <v>0</v>
      </c>
    </row>
    <row r="16" spans="1:13" x14ac:dyDescent="0.3">
      <c r="A16" s="31">
        <v>45989.672800925924</v>
      </c>
      <c r="B16">
        <v>142</v>
      </c>
      <c r="C16" s="32">
        <v>10575</v>
      </c>
      <c r="D16" s="32">
        <v>3534642</v>
      </c>
      <c r="E16" s="32">
        <v>373738586</v>
      </c>
      <c r="F16">
        <v>0</v>
      </c>
      <c r="H16" s="34">
        <v>45989.717743055553</v>
      </c>
      <c r="I16" s="33">
        <v>142</v>
      </c>
      <c r="J16" s="33" t="s">
        <v>24</v>
      </c>
      <c r="K16" s="35">
        <v>3053657</v>
      </c>
      <c r="L16" s="35">
        <v>270616729</v>
      </c>
      <c r="M16" s="33">
        <v>0</v>
      </c>
    </row>
    <row r="17" spans="1:13" x14ac:dyDescent="0.3">
      <c r="A17" s="31">
        <v>45989.67291666667</v>
      </c>
      <c r="B17">
        <v>152</v>
      </c>
      <c r="C17" s="32">
        <v>10537</v>
      </c>
      <c r="D17" s="32">
        <v>3525393</v>
      </c>
      <c r="E17" s="32">
        <v>371863647</v>
      </c>
      <c r="F17">
        <v>0</v>
      </c>
      <c r="H17" s="34">
        <v>45989.717858796299</v>
      </c>
      <c r="I17" s="33">
        <v>152</v>
      </c>
      <c r="J17" s="33" t="s">
        <v>25</v>
      </c>
      <c r="K17" s="35">
        <v>3014408</v>
      </c>
      <c r="L17" s="35">
        <v>264366943</v>
      </c>
      <c r="M17" s="33">
        <v>0</v>
      </c>
    </row>
    <row r="18" spans="1:13" x14ac:dyDescent="0.3">
      <c r="A18" s="31">
        <v>45989.673032407409</v>
      </c>
      <c r="B18">
        <v>162</v>
      </c>
      <c r="C18" s="32">
        <v>10512</v>
      </c>
      <c r="D18" s="32">
        <v>3516893</v>
      </c>
      <c r="E18" s="32">
        <v>369363739</v>
      </c>
      <c r="F18">
        <v>0</v>
      </c>
      <c r="H18" s="34">
        <v>45989.717974537038</v>
      </c>
      <c r="I18" s="33">
        <v>162</v>
      </c>
      <c r="J18" s="33" t="s">
        <v>26</v>
      </c>
      <c r="K18" s="35">
        <v>2993659</v>
      </c>
      <c r="L18" s="35">
        <v>259992065</v>
      </c>
      <c r="M18" s="33">
        <v>0</v>
      </c>
    </row>
    <row r="19" spans="1:13" x14ac:dyDescent="0.3">
      <c r="A19" s="31">
        <v>45989.673148148147</v>
      </c>
      <c r="B19">
        <v>172</v>
      </c>
      <c r="C19" s="32">
        <v>10487</v>
      </c>
      <c r="D19" s="32">
        <v>3509143</v>
      </c>
      <c r="E19" s="32">
        <v>367488769</v>
      </c>
      <c r="F19">
        <v>1</v>
      </c>
    </row>
    <row r="20" spans="1:13" x14ac:dyDescent="0.3">
      <c r="A20" s="31">
        <v>45989.673263888886</v>
      </c>
      <c r="B20">
        <v>182</v>
      </c>
      <c r="C20" s="32">
        <v>13200</v>
      </c>
      <c r="D20" t="s">
        <v>14</v>
      </c>
      <c r="E20" t="s">
        <v>15</v>
      </c>
      <c r="F20">
        <v>1</v>
      </c>
    </row>
    <row r="21" spans="1:13" x14ac:dyDescent="0.3">
      <c r="A21" s="31">
        <v>45989.673379629632</v>
      </c>
      <c r="B21">
        <v>192</v>
      </c>
      <c r="C21" s="32">
        <v>13312</v>
      </c>
      <c r="D21" t="s">
        <v>14</v>
      </c>
      <c r="E21" t="s">
        <v>15</v>
      </c>
      <c r="F21">
        <v>1</v>
      </c>
    </row>
    <row r="22" spans="1:13" x14ac:dyDescent="0.3">
      <c r="A22" s="31">
        <v>45989.673495370371</v>
      </c>
      <c r="B22">
        <v>202</v>
      </c>
      <c r="C22" s="32">
        <v>13375</v>
      </c>
      <c r="D22" t="s">
        <v>14</v>
      </c>
      <c r="E22" t="s">
        <v>15</v>
      </c>
      <c r="F22">
        <v>1</v>
      </c>
    </row>
    <row r="23" spans="1:13" x14ac:dyDescent="0.3">
      <c r="A23" s="31">
        <v>45989.673611111109</v>
      </c>
      <c r="B23">
        <v>212</v>
      </c>
      <c r="C23" s="32">
        <v>13425</v>
      </c>
      <c r="D23" t="s">
        <v>14</v>
      </c>
      <c r="E23" t="s">
        <v>15</v>
      </c>
      <c r="F23">
        <v>1</v>
      </c>
    </row>
    <row r="24" spans="1:13" x14ac:dyDescent="0.3">
      <c r="A24" s="31">
        <v>45989.673726851855</v>
      </c>
      <c r="B24">
        <v>222</v>
      </c>
      <c r="C24" s="32">
        <v>13462</v>
      </c>
      <c r="D24" t="s">
        <v>14</v>
      </c>
      <c r="E24" t="s">
        <v>15</v>
      </c>
      <c r="F24">
        <v>1</v>
      </c>
    </row>
    <row r="25" spans="1:13" x14ac:dyDescent="0.3">
      <c r="A25" s="31">
        <v>45989.673842592594</v>
      </c>
      <c r="B25">
        <v>232</v>
      </c>
      <c r="C25" s="32">
        <v>13487</v>
      </c>
      <c r="D25" t="s">
        <v>14</v>
      </c>
      <c r="E25" t="s">
        <v>15</v>
      </c>
      <c r="F25">
        <v>0</v>
      </c>
    </row>
    <row r="26" spans="1:13" x14ac:dyDescent="0.3">
      <c r="A26" s="31">
        <v>45989.673958333333</v>
      </c>
      <c r="B26">
        <v>242</v>
      </c>
      <c r="C26" s="32">
        <v>10700</v>
      </c>
      <c r="D26" s="32">
        <v>3578391</v>
      </c>
      <c r="E26" s="32">
        <v>383113311</v>
      </c>
      <c r="F26">
        <v>0</v>
      </c>
    </row>
    <row r="27" spans="1:13" x14ac:dyDescent="0.3">
      <c r="A27" s="31">
        <v>45989.674074074072</v>
      </c>
      <c r="B27">
        <v>252</v>
      </c>
      <c r="C27" s="32">
        <v>10600</v>
      </c>
      <c r="D27" s="32">
        <v>3545892</v>
      </c>
      <c r="E27" s="32">
        <v>375613525</v>
      </c>
      <c r="F27">
        <v>0</v>
      </c>
    </row>
    <row r="28" spans="1:13" x14ac:dyDescent="0.3">
      <c r="A28" s="31">
        <v>45989.674189814818</v>
      </c>
      <c r="B28">
        <v>262</v>
      </c>
      <c r="C28" s="32">
        <v>10537</v>
      </c>
      <c r="D28" s="32">
        <v>3525142</v>
      </c>
      <c r="E28" s="32">
        <v>371863647</v>
      </c>
      <c r="F28">
        <v>0</v>
      </c>
    </row>
    <row r="29" spans="1:13" x14ac:dyDescent="0.3">
      <c r="A29" s="31">
        <v>45989.674305555556</v>
      </c>
      <c r="B29">
        <v>272</v>
      </c>
      <c r="C29" s="32">
        <v>10487</v>
      </c>
      <c r="D29" s="32">
        <v>3509643</v>
      </c>
      <c r="E29" s="32">
        <v>367488769</v>
      </c>
      <c r="F29">
        <v>0</v>
      </c>
    </row>
    <row r="30" spans="1:13" x14ac:dyDescent="0.3">
      <c r="A30" s="31">
        <v>45989.674421296295</v>
      </c>
      <c r="B30">
        <v>282</v>
      </c>
      <c r="C30" s="32">
        <v>10450</v>
      </c>
      <c r="D30" s="32">
        <v>3497143</v>
      </c>
      <c r="E30" s="32">
        <v>365613830</v>
      </c>
      <c r="F30">
        <v>0</v>
      </c>
    </row>
    <row r="31" spans="1:13" x14ac:dyDescent="0.3">
      <c r="A31" s="31">
        <v>45989.674537037034</v>
      </c>
      <c r="B31">
        <v>292</v>
      </c>
      <c r="C31" s="32">
        <v>10412</v>
      </c>
      <c r="D31" s="32">
        <v>3486643</v>
      </c>
      <c r="E31" s="32">
        <v>363113922</v>
      </c>
      <c r="F31">
        <v>0</v>
      </c>
    </row>
    <row r="32" spans="1:13" x14ac:dyDescent="0.3">
      <c r="A32" s="31">
        <v>45989.67465277778</v>
      </c>
      <c r="B32">
        <v>302</v>
      </c>
      <c r="C32" s="32">
        <v>10387</v>
      </c>
      <c r="D32" s="32">
        <v>3477144</v>
      </c>
      <c r="E32" s="32">
        <v>361238983</v>
      </c>
      <c r="F32">
        <v>0</v>
      </c>
    </row>
    <row r="33" spans="1:6" x14ac:dyDescent="0.3">
      <c r="A33" s="31">
        <v>45989.674768518518</v>
      </c>
      <c r="B33">
        <v>312</v>
      </c>
      <c r="C33" s="32">
        <v>10375</v>
      </c>
      <c r="D33" s="32">
        <v>3468644</v>
      </c>
      <c r="E33" s="32">
        <v>359364044</v>
      </c>
      <c r="F33">
        <v>0</v>
      </c>
    </row>
    <row r="34" spans="1:6" x14ac:dyDescent="0.3">
      <c r="A34" s="31">
        <v>45989.674884259257</v>
      </c>
      <c r="B34">
        <v>322</v>
      </c>
      <c r="C34" s="32">
        <v>10350</v>
      </c>
      <c r="D34" s="32">
        <v>3460894</v>
      </c>
      <c r="E34" s="32">
        <v>358114074</v>
      </c>
      <c r="F34">
        <v>0</v>
      </c>
    </row>
    <row r="35" spans="1:6" x14ac:dyDescent="0.3">
      <c r="A35" s="31">
        <v>45989.675000000003</v>
      </c>
      <c r="B35">
        <v>332</v>
      </c>
      <c r="C35" s="32">
        <v>10325</v>
      </c>
      <c r="D35" s="32">
        <v>3453395</v>
      </c>
      <c r="E35" s="32">
        <v>356239135</v>
      </c>
      <c r="F35">
        <v>0</v>
      </c>
    </row>
    <row r="36" spans="1:6" x14ac:dyDescent="0.3">
      <c r="A36" s="31">
        <v>45989.675115740742</v>
      </c>
      <c r="B36">
        <v>342</v>
      </c>
      <c r="C36" s="32">
        <v>10300</v>
      </c>
      <c r="D36" s="32">
        <v>3446895</v>
      </c>
      <c r="E36" s="32">
        <v>355614135</v>
      </c>
      <c r="F36">
        <v>0</v>
      </c>
    </row>
    <row r="37" spans="1:6" x14ac:dyDescent="0.3">
      <c r="A37" s="31">
        <v>45989.67523148148</v>
      </c>
      <c r="B37">
        <v>352</v>
      </c>
      <c r="C37" s="32">
        <v>10287</v>
      </c>
      <c r="D37" s="32">
        <v>3440395</v>
      </c>
      <c r="E37" s="32">
        <v>353739196</v>
      </c>
      <c r="F37">
        <v>0</v>
      </c>
    </row>
    <row r="38" spans="1:6" x14ac:dyDescent="0.3">
      <c r="A38" s="31">
        <v>45989.675347222219</v>
      </c>
      <c r="B38">
        <v>362</v>
      </c>
      <c r="C38" s="32">
        <v>10262</v>
      </c>
      <c r="D38" s="32">
        <v>3434145</v>
      </c>
      <c r="E38" s="32">
        <v>352489257</v>
      </c>
      <c r="F38">
        <v>0</v>
      </c>
    </row>
    <row r="39" spans="1:6" x14ac:dyDescent="0.3">
      <c r="A39" s="31">
        <v>45989.675462962965</v>
      </c>
      <c r="B39">
        <v>372</v>
      </c>
      <c r="C39" s="32">
        <v>10237</v>
      </c>
      <c r="D39" s="32">
        <v>3427895</v>
      </c>
      <c r="E39" s="32">
        <v>351239288</v>
      </c>
      <c r="F39">
        <v>0</v>
      </c>
    </row>
    <row r="40" spans="1:6" x14ac:dyDescent="0.3">
      <c r="A40" s="31">
        <v>45989.675578703704</v>
      </c>
      <c r="B40">
        <v>382</v>
      </c>
      <c r="C40" s="32">
        <v>10225</v>
      </c>
      <c r="D40" s="32">
        <v>3422145</v>
      </c>
      <c r="E40" s="32">
        <v>349989318</v>
      </c>
      <c r="F40">
        <v>0</v>
      </c>
    </row>
    <row r="41" spans="1:6" x14ac:dyDescent="0.3">
      <c r="A41" s="31">
        <v>45989.675694444442</v>
      </c>
      <c r="B41">
        <v>392</v>
      </c>
      <c r="C41" s="32">
        <v>10212</v>
      </c>
      <c r="D41" s="32">
        <v>3416396</v>
      </c>
      <c r="E41" s="32">
        <v>348739349</v>
      </c>
      <c r="F41">
        <v>0</v>
      </c>
    </row>
    <row r="42" spans="1:6" x14ac:dyDescent="0.3">
      <c r="A42" s="31">
        <v>45989.675810185188</v>
      </c>
      <c r="B42">
        <v>402</v>
      </c>
      <c r="C42" s="32">
        <v>10187</v>
      </c>
      <c r="D42" s="32">
        <v>3410896</v>
      </c>
      <c r="E42" s="32">
        <v>347489379</v>
      </c>
      <c r="F42">
        <v>0</v>
      </c>
    </row>
    <row r="43" spans="1:6" x14ac:dyDescent="0.3">
      <c r="A43" s="31">
        <v>45989.675925925927</v>
      </c>
      <c r="B43">
        <v>412</v>
      </c>
      <c r="C43" s="32">
        <v>10175</v>
      </c>
      <c r="D43" s="32">
        <v>3405646</v>
      </c>
      <c r="E43" s="32">
        <v>346239440</v>
      </c>
      <c r="F43">
        <v>1</v>
      </c>
    </row>
    <row r="44" spans="1:6" x14ac:dyDescent="0.3">
      <c r="A44" s="31">
        <v>45989.676041666666</v>
      </c>
      <c r="B44">
        <v>422</v>
      </c>
      <c r="C44" s="32">
        <v>12887</v>
      </c>
      <c r="D44" t="s">
        <v>14</v>
      </c>
      <c r="E44" t="s">
        <v>15</v>
      </c>
      <c r="F44">
        <v>1</v>
      </c>
    </row>
    <row r="45" spans="1:6" x14ac:dyDescent="0.3">
      <c r="A45" s="31">
        <v>45989.676157407404</v>
      </c>
      <c r="B45">
        <v>432</v>
      </c>
      <c r="C45" s="32">
        <v>13000</v>
      </c>
      <c r="D45" t="s">
        <v>14</v>
      </c>
      <c r="E45" t="s">
        <v>15</v>
      </c>
      <c r="F45">
        <v>1</v>
      </c>
    </row>
    <row r="46" spans="1:6" x14ac:dyDescent="0.3">
      <c r="A46" s="31">
        <v>45989.67627314815</v>
      </c>
      <c r="B46">
        <v>442</v>
      </c>
      <c r="C46" s="32">
        <v>13062</v>
      </c>
      <c r="D46" t="s">
        <v>14</v>
      </c>
      <c r="E46" t="s">
        <v>15</v>
      </c>
      <c r="F46">
        <v>1</v>
      </c>
    </row>
    <row r="47" spans="1:6" x14ac:dyDescent="0.3">
      <c r="A47" s="31">
        <v>45989.676388888889</v>
      </c>
      <c r="B47">
        <v>452</v>
      </c>
      <c r="C47" s="32">
        <v>13112</v>
      </c>
      <c r="D47" t="s">
        <v>14</v>
      </c>
      <c r="E47" t="s">
        <v>15</v>
      </c>
      <c r="F47">
        <v>1</v>
      </c>
    </row>
    <row r="48" spans="1:6" x14ac:dyDescent="0.3">
      <c r="A48" s="31">
        <v>45989.676504629628</v>
      </c>
      <c r="B48">
        <v>462</v>
      </c>
      <c r="C48" s="32">
        <v>13150</v>
      </c>
      <c r="D48" t="s">
        <v>14</v>
      </c>
      <c r="E48" t="s">
        <v>15</v>
      </c>
      <c r="F48">
        <v>1</v>
      </c>
    </row>
    <row r="49" spans="1:6" x14ac:dyDescent="0.3">
      <c r="A49" s="31">
        <v>45989.676620370374</v>
      </c>
      <c r="B49">
        <v>472</v>
      </c>
      <c r="C49" s="32">
        <v>13187</v>
      </c>
      <c r="D49" t="s">
        <v>14</v>
      </c>
      <c r="E49" t="s">
        <v>15</v>
      </c>
      <c r="F49">
        <v>0</v>
      </c>
    </row>
    <row r="50" spans="1:6" x14ac:dyDescent="0.3">
      <c r="A50" s="31">
        <v>45989.676736111112</v>
      </c>
      <c r="B50">
        <v>482</v>
      </c>
      <c r="C50" s="32">
        <v>10412</v>
      </c>
      <c r="D50" s="32">
        <v>3484394</v>
      </c>
      <c r="E50" s="32">
        <v>362488952</v>
      </c>
      <c r="F50">
        <v>0</v>
      </c>
    </row>
    <row r="51" spans="1:6" x14ac:dyDescent="0.3">
      <c r="A51" s="31">
        <v>45989.676851851851</v>
      </c>
      <c r="B51">
        <v>492</v>
      </c>
      <c r="C51" s="32">
        <v>10312</v>
      </c>
      <c r="D51" s="32">
        <v>3451645</v>
      </c>
      <c r="E51" s="32">
        <v>356239135</v>
      </c>
      <c r="F51">
        <v>0</v>
      </c>
    </row>
    <row r="52" spans="1:6" x14ac:dyDescent="0.3">
      <c r="A52" s="31">
        <v>45989.67696759259</v>
      </c>
      <c r="B52">
        <v>502</v>
      </c>
      <c r="C52" s="32">
        <v>10250</v>
      </c>
      <c r="D52" s="32">
        <v>3431645</v>
      </c>
      <c r="E52" s="32">
        <v>351239288</v>
      </c>
      <c r="F52">
        <v>0</v>
      </c>
    </row>
    <row r="53" spans="1:6" x14ac:dyDescent="0.3">
      <c r="A53" s="31">
        <v>45989.677083333336</v>
      </c>
      <c r="B53">
        <v>512</v>
      </c>
      <c r="C53" s="32">
        <v>10200</v>
      </c>
      <c r="D53" s="32">
        <v>3417396</v>
      </c>
      <c r="E53" s="32">
        <v>348739349</v>
      </c>
      <c r="F53">
        <v>0</v>
      </c>
    </row>
    <row r="54" spans="1:6" x14ac:dyDescent="0.3">
      <c r="A54" s="31">
        <v>45989.677199074074</v>
      </c>
      <c r="B54">
        <v>522</v>
      </c>
      <c r="C54" s="32">
        <v>10175</v>
      </c>
      <c r="D54" s="32">
        <v>3406146</v>
      </c>
      <c r="E54" s="32">
        <v>346239440</v>
      </c>
      <c r="F54">
        <v>0</v>
      </c>
    </row>
    <row r="55" spans="1:6" x14ac:dyDescent="0.3">
      <c r="A55" s="31">
        <v>45989.677314814813</v>
      </c>
      <c r="B55">
        <v>532</v>
      </c>
      <c r="C55" s="32">
        <v>10150</v>
      </c>
      <c r="D55" s="32">
        <v>3396896</v>
      </c>
      <c r="E55" s="32">
        <v>344989471</v>
      </c>
      <c r="F55">
        <v>0</v>
      </c>
    </row>
    <row r="56" spans="1:6" x14ac:dyDescent="0.3">
      <c r="A56" s="31">
        <v>45989.677430555559</v>
      </c>
      <c r="B56">
        <v>542</v>
      </c>
      <c r="C56" s="32">
        <v>10125</v>
      </c>
      <c r="D56" s="32">
        <v>3388897</v>
      </c>
      <c r="E56" s="32">
        <v>343114532</v>
      </c>
      <c r="F56">
        <v>0</v>
      </c>
    </row>
    <row r="57" spans="1:6" x14ac:dyDescent="0.3">
      <c r="A57" s="31">
        <v>45989.677546296298</v>
      </c>
      <c r="B57">
        <v>552</v>
      </c>
      <c r="C57" s="32">
        <v>10100</v>
      </c>
      <c r="D57" s="32">
        <v>3381647</v>
      </c>
      <c r="E57" s="32">
        <v>341864562</v>
      </c>
      <c r="F57">
        <v>0</v>
      </c>
    </row>
    <row r="58" spans="1:6" x14ac:dyDescent="0.3">
      <c r="A58" s="31">
        <v>45989.677662037036</v>
      </c>
      <c r="B58">
        <v>562</v>
      </c>
      <c r="C58" s="32">
        <v>10087</v>
      </c>
      <c r="D58" s="32">
        <v>3375147</v>
      </c>
      <c r="E58" s="32">
        <v>339989624</v>
      </c>
      <c r="F58">
        <v>0</v>
      </c>
    </row>
    <row r="59" spans="1:6" x14ac:dyDescent="0.3">
      <c r="A59" s="31">
        <v>45989.677777777775</v>
      </c>
      <c r="B59">
        <v>572</v>
      </c>
      <c r="C59" s="32">
        <v>10062</v>
      </c>
      <c r="D59" s="32">
        <v>3369147</v>
      </c>
      <c r="E59" s="32">
        <v>338739654</v>
      </c>
      <c r="F59">
        <v>0</v>
      </c>
    </row>
    <row r="60" spans="1:6" x14ac:dyDescent="0.3">
      <c r="A60" s="31">
        <v>45989.677893518521</v>
      </c>
      <c r="B60">
        <v>582</v>
      </c>
      <c r="C60" s="32">
        <v>10050</v>
      </c>
      <c r="D60" s="32">
        <v>3363397</v>
      </c>
      <c r="E60" s="32">
        <v>338114685</v>
      </c>
      <c r="F60">
        <v>0</v>
      </c>
    </row>
    <row r="61" spans="1:6" x14ac:dyDescent="0.3">
      <c r="A61" s="31">
        <v>45989.67800925926</v>
      </c>
      <c r="B61">
        <v>592</v>
      </c>
      <c r="C61" s="32">
        <v>10025</v>
      </c>
      <c r="D61" s="32">
        <v>3357897</v>
      </c>
      <c r="E61" s="32">
        <v>336864715</v>
      </c>
      <c r="F61">
        <v>0</v>
      </c>
    </row>
    <row r="62" spans="1:6" x14ac:dyDescent="0.3">
      <c r="A62" s="31">
        <v>45989.678124999999</v>
      </c>
      <c r="B62">
        <v>602</v>
      </c>
      <c r="C62" s="32">
        <v>10012</v>
      </c>
      <c r="D62" s="32">
        <v>3352898</v>
      </c>
      <c r="E62" s="32">
        <v>335614746</v>
      </c>
      <c r="F62">
        <v>0</v>
      </c>
    </row>
    <row r="63" spans="1:6" x14ac:dyDescent="0.3">
      <c r="A63" s="31">
        <v>45989.678240740737</v>
      </c>
      <c r="B63">
        <v>612</v>
      </c>
      <c r="C63" s="32">
        <v>10000</v>
      </c>
      <c r="D63" s="32">
        <v>3347898</v>
      </c>
      <c r="E63" s="32">
        <v>334364807</v>
      </c>
      <c r="F63">
        <v>0</v>
      </c>
    </row>
    <row r="64" spans="1:6" x14ac:dyDescent="0.3">
      <c r="A64" s="31">
        <v>45989.678356481483</v>
      </c>
      <c r="B64">
        <v>622</v>
      </c>
      <c r="C64" t="s">
        <v>16</v>
      </c>
      <c r="D64" s="32">
        <v>3342898</v>
      </c>
      <c r="E64" s="32">
        <v>333739807</v>
      </c>
      <c r="F64">
        <v>0</v>
      </c>
    </row>
    <row r="65" spans="1:6" x14ac:dyDescent="0.3">
      <c r="A65" s="31">
        <v>45989.678472222222</v>
      </c>
      <c r="B65">
        <v>632</v>
      </c>
      <c r="C65" t="s">
        <v>17</v>
      </c>
      <c r="D65" s="32">
        <v>3337898</v>
      </c>
      <c r="E65" s="32">
        <v>332489868</v>
      </c>
      <c r="F65">
        <v>0</v>
      </c>
    </row>
    <row r="66" spans="1:6" x14ac:dyDescent="0.3">
      <c r="A66" s="31">
        <v>45989.678587962961</v>
      </c>
      <c r="B66">
        <v>642</v>
      </c>
      <c r="C66" t="s">
        <v>18</v>
      </c>
      <c r="D66" s="32">
        <v>3333148</v>
      </c>
      <c r="E66" s="32">
        <v>331864868</v>
      </c>
      <c r="F66">
        <v>0</v>
      </c>
    </row>
    <row r="67" spans="1:6" x14ac:dyDescent="0.3">
      <c r="A67" t="s">
        <v>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AB56C7E-6F2B-4284-9918-FD9AB11520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Gráficos</vt:lpstr>
      </vt:variant>
      <vt:variant>
        <vt:i4>1</vt:i4>
      </vt:variant>
    </vt:vector>
  </HeadingPairs>
  <TitlesOfParts>
    <vt:vector size="4" baseType="lpstr">
      <vt:lpstr>25</vt:lpstr>
      <vt:lpstr>25C</vt:lpstr>
      <vt:lpstr>Hoja3</vt:lpstr>
      <vt:lpstr>Graf25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Pila AAA / LR03</dc:title>
  <dc:creator>Prof. Ing. Gerhard E. RAITH</dc:creator>
  <cp:keywords>Test de descarga 3H</cp:keywords>
  <cp:lastModifiedBy>Prof. Ing. Gerhard E. RAITH</cp:lastModifiedBy>
  <dcterms:created xsi:type="dcterms:W3CDTF">2025-11-28T16:34:51Z</dcterms:created>
  <dcterms:modified xsi:type="dcterms:W3CDTF">2025-11-28T20:48:17Z</dcterms:modified>
</cp:coreProperties>
</file>