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ursos\WEBs\LabAuto\medidor_vip\documents\"/>
    </mc:Choice>
  </mc:AlternateContent>
  <xr:revisionPtr revIDLastSave="0" documentId="13_ncr:1_{2C8896CB-0911-4C5D-AB9C-DC723555B547}" xr6:coauthVersionLast="47" xr6:coauthVersionMax="47" xr10:uidLastSave="{00000000-0000-0000-0000-000000000000}"/>
  <bookViews>
    <workbookView xWindow="28680" yWindow="-120" windowWidth="29040" windowHeight="15840" activeTab="6" xr2:uid="{C3FEE5A6-C306-43D1-B06D-2B32A9EFD88D}"/>
  </bookViews>
  <sheets>
    <sheet name="Graf25" sheetId="3" r:id="rId1"/>
    <sheet name="25" sheetId="2" r:id="rId2"/>
    <sheet name="25C" sheetId="4" r:id="rId3"/>
    <sheet name="Hoja3" sheetId="5" r:id="rId4"/>
    <sheet name="THS-AAA-LR03" sheetId="6" r:id="rId5"/>
    <sheet name="EnergizerMaxAAA" sheetId="7" r:id="rId6"/>
    <sheet name="SicaAAA" sheetId="8" r:id="rId7"/>
  </sheets>
  <definedNames>
    <definedName name="DatosExternos_1" localSheetId="1" hidden="1">'25'!$A$1:$I$88</definedName>
    <definedName name="DatosExternos_1" localSheetId="2" hidden="1">'25C'!$A$1:$I$88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8" l="1"/>
  <c r="I6" i="8"/>
  <c r="G1203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6" i="8"/>
  <c r="G1202" i="8"/>
  <c r="D1202" i="8"/>
  <c r="B1202" i="8"/>
  <c r="F1201" i="8"/>
  <c r="B1201" i="8"/>
  <c r="G1201" i="8"/>
  <c r="D1201" i="8"/>
  <c r="I937" i="7"/>
  <c r="I913" i="7"/>
  <c r="I889" i="7"/>
  <c r="I865" i="7"/>
  <c r="I841" i="7"/>
  <c r="I817" i="7"/>
  <c r="I793" i="7"/>
  <c r="I769" i="7"/>
  <c r="I745" i="7"/>
  <c r="I721" i="7"/>
  <c r="I697" i="7"/>
  <c r="I673" i="7"/>
  <c r="I649" i="7"/>
  <c r="I625" i="7"/>
  <c r="I601" i="7"/>
  <c r="I577" i="7"/>
  <c r="I553" i="7"/>
  <c r="I529" i="7"/>
  <c r="I505" i="7"/>
  <c r="I481" i="7"/>
  <c r="I457" i="7"/>
  <c r="I433" i="7"/>
  <c r="I409" i="7"/>
  <c r="I385" i="7"/>
  <c r="I361" i="7"/>
  <c r="I337" i="7"/>
  <c r="I313" i="7"/>
  <c r="I289" i="7"/>
  <c r="I265" i="7"/>
  <c r="I241" i="7"/>
  <c r="I217" i="7"/>
  <c r="I193" i="7"/>
  <c r="I169" i="7"/>
  <c r="I145" i="7"/>
  <c r="I121" i="7"/>
  <c r="I97" i="7"/>
  <c r="I73" i="7"/>
  <c r="I930" i="7"/>
  <c r="I906" i="7"/>
  <c r="I882" i="7"/>
  <c r="I858" i="7"/>
  <c r="I834" i="7"/>
  <c r="I810" i="7"/>
  <c r="I786" i="7"/>
  <c r="I762" i="7"/>
  <c r="I738" i="7"/>
  <c r="I714" i="7"/>
  <c r="I690" i="7"/>
  <c r="I666" i="7"/>
  <c r="I642" i="7"/>
  <c r="I618" i="7"/>
  <c r="I594" i="7"/>
  <c r="I570" i="7"/>
  <c r="I546" i="7"/>
  <c r="I522" i="7"/>
  <c r="I498" i="7"/>
  <c r="I474" i="7"/>
  <c r="I450" i="7"/>
  <c r="I426" i="7"/>
  <c r="I402" i="7"/>
  <c r="I378" i="7"/>
  <c r="I354" i="7"/>
  <c r="I330" i="7"/>
  <c r="I306" i="7"/>
  <c r="I282" i="7"/>
  <c r="I258" i="7"/>
  <c r="I234" i="7"/>
  <c r="I210" i="7"/>
  <c r="I186" i="7"/>
  <c r="I162" i="7"/>
  <c r="I138" i="7"/>
  <c r="I114" i="7"/>
  <c r="I90" i="7"/>
  <c r="I66" i="7"/>
  <c r="I49" i="7"/>
  <c r="I42" i="7"/>
  <c r="I25" i="7"/>
  <c r="I18" i="7"/>
  <c r="I9" i="7"/>
  <c r="B958" i="7"/>
  <c r="G958" i="7"/>
  <c r="F957" i="7"/>
  <c r="G96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" i="7"/>
  <c r="D958" i="7"/>
  <c r="G95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" i="7"/>
  <c r="G957" i="7"/>
  <c r="B957" i="7"/>
  <c r="D957" i="7"/>
  <c r="D381" i="6"/>
  <c r="G382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5" i="6"/>
  <c r="G380" i="6"/>
  <c r="B380" i="6"/>
  <c r="A89" i="4"/>
  <c r="D380" i="6"/>
  <c r="K4" i="4"/>
  <c r="K5" i="4"/>
  <c r="K6" i="4"/>
  <c r="K7" i="4"/>
  <c r="K8" i="4"/>
  <c r="K9" i="4"/>
  <c r="J9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3" i="4"/>
  <c r="J9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F89" i="4"/>
  <c r="H88" i="4"/>
  <c r="F88" i="4"/>
  <c r="C88" i="4"/>
  <c r="H87" i="4"/>
  <c r="F87" i="4"/>
  <c r="C87" i="4"/>
  <c r="H86" i="4"/>
  <c r="F86" i="4"/>
  <c r="C86" i="4"/>
  <c r="H85" i="4"/>
  <c r="F85" i="4"/>
  <c r="C85" i="4"/>
  <c r="H84" i="4"/>
  <c r="F84" i="4"/>
  <c r="C84" i="4"/>
  <c r="H83" i="4"/>
  <c r="F83" i="4"/>
  <c r="C83" i="4"/>
  <c r="H82" i="4"/>
  <c r="F82" i="4"/>
  <c r="C82" i="4"/>
  <c r="H81" i="4"/>
  <c r="F81" i="4"/>
  <c r="C81" i="4"/>
  <c r="H80" i="4"/>
  <c r="F80" i="4"/>
  <c r="C80" i="4"/>
  <c r="H79" i="4"/>
  <c r="F79" i="4"/>
  <c r="C79" i="4"/>
  <c r="H78" i="4"/>
  <c r="F78" i="4"/>
  <c r="C78" i="4"/>
  <c r="H77" i="4"/>
  <c r="F77" i="4"/>
  <c r="C77" i="4"/>
  <c r="H76" i="4"/>
  <c r="F76" i="4"/>
  <c r="C76" i="4"/>
  <c r="H75" i="4"/>
  <c r="F75" i="4"/>
  <c r="C75" i="4"/>
  <c r="H74" i="4"/>
  <c r="F74" i="4"/>
  <c r="E74" i="4"/>
  <c r="C74" i="4"/>
  <c r="H73" i="4"/>
  <c r="F73" i="4"/>
  <c r="C73" i="4"/>
  <c r="H72" i="4"/>
  <c r="F72" i="4"/>
  <c r="C72" i="4"/>
  <c r="H71" i="4"/>
  <c r="F71" i="4"/>
  <c r="C71" i="4"/>
  <c r="H70" i="4"/>
  <c r="F70" i="4"/>
  <c r="C70" i="4"/>
  <c r="H69" i="4"/>
  <c r="F69" i="4"/>
  <c r="C69" i="4"/>
  <c r="H68" i="4"/>
  <c r="F68" i="4"/>
  <c r="C68" i="4"/>
  <c r="E67" i="4" s="1"/>
  <c r="H67" i="4"/>
  <c r="F67" i="4"/>
  <c r="C67" i="4"/>
  <c r="H66" i="4"/>
  <c r="F66" i="4"/>
  <c r="C66" i="4"/>
  <c r="H65" i="4"/>
  <c r="F65" i="4"/>
  <c r="C65" i="4"/>
  <c r="H64" i="4"/>
  <c r="F64" i="4"/>
  <c r="C64" i="4"/>
  <c r="H63" i="4"/>
  <c r="F63" i="4"/>
  <c r="C63" i="4"/>
  <c r="H62" i="4"/>
  <c r="F62" i="4"/>
  <c r="C62" i="4"/>
  <c r="H61" i="4"/>
  <c r="F61" i="4"/>
  <c r="C61" i="4"/>
  <c r="H60" i="4"/>
  <c r="F60" i="4"/>
  <c r="C60" i="4"/>
  <c r="H59" i="4"/>
  <c r="F59" i="4"/>
  <c r="C59" i="4"/>
  <c r="H58" i="4"/>
  <c r="F58" i="4"/>
  <c r="C58" i="4"/>
  <c r="H57" i="4"/>
  <c r="F57" i="4"/>
  <c r="C57" i="4"/>
  <c r="H56" i="4"/>
  <c r="F56" i="4"/>
  <c r="C56" i="4"/>
  <c r="H55" i="4"/>
  <c r="F55" i="4"/>
  <c r="C55" i="4"/>
  <c r="H54" i="4"/>
  <c r="F54" i="4"/>
  <c r="C54" i="4"/>
  <c r="H53" i="4"/>
  <c r="F53" i="4"/>
  <c r="C53" i="4"/>
  <c r="H52" i="4"/>
  <c r="F52" i="4"/>
  <c r="C52" i="4"/>
  <c r="H51" i="4"/>
  <c r="F51" i="4"/>
  <c r="C51" i="4"/>
  <c r="H50" i="4"/>
  <c r="F50" i="4"/>
  <c r="E50" i="4"/>
  <c r="C50" i="4"/>
  <c r="H49" i="4"/>
  <c r="F49" i="4"/>
  <c r="C49" i="4"/>
  <c r="H48" i="4"/>
  <c r="F48" i="4"/>
  <c r="C48" i="4"/>
  <c r="H47" i="4"/>
  <c r="F47" i="4"/>
  <c r="C47" i="4"/>
  <c r="H46" i="4"/>
  <c r="F46" i="4"/>
  <c r="C46" i="4"/>
  <c r="H45" i="4"/>
  <c r="F45" i="4"/>
  <c r="C45" i="4"/>
  <c r="H44" i="4"/>
  <c r="F44" i="4"/>
  <c r="C44" i="4"/>
  <c r="E43" i="4" s="1"/>
  <c r="H43" i="4"/>
  <c r="F43" i="4"/>
  <c r="C43" i="4"/>
  <c r="H42" i="4"/>
  <c r="F42" i="4"/>
  <c r="C42" i="4"/>
  <c r="H41" i="4"/>
  <c r="F41" i="4"/>
  <c r="C41" i="4"/>
  <c r="H40" i="4"/>
  <c r="F40" i="4"/>
  <c r="C40" i="4"/>
  <c r="H39" i="4"/>
  <c r="F39" i="4"/>
  <c r="C39" i="4"/>
  <c r="H38" i="4"/>
  <c r="F38" i="4"/>
  <c r="C38" i="4"/>
  <c r="H37" i="4"/>
  <c r="F37" i="4"/>
  <c r="C37" i="4"/>
  <c r="H36" i="4"/>
  <c r="F36" i="4"/>
  <c r="C36" i="4"/>
  <c r="H35" i="4"/>
  <c r="F35" i="4"/>
  <c r="C35" i="4"/>
  <c r="H34" i="4"/>
  <c r="F34" i="4"/>
  <c r="C34" i="4"/>
  <c r="H33" i="4"/>
  <c r="F33" i="4"/>
  <c r="C33" i="4"/>
  <c r="H32" i="4"/>
  <c r="F32" i="4"/>
  <c r="C32" i="4"/>
  <c r="H31" i="4"/>
  <c r="F31" i="4"/>
  <c r="C31" i="4"/>
  <c r="H30" i="4"/>
  <c r="F30" i="4"/>
  <c r="C30" i="4"/>
  <c r="H29" i="4"/>
  <c r="F29" i="4"/>
  <c r="C29" i="4"/>
  <c r="H28" i="4"/>
  <c r="F28" i="4"/>
  <c r="C28" i="4"/>
  <c r="H27" i="4"/>
  <c r="F27" i="4"/>
  <c r="C27" i="4"/>
  <c r="H26" i="4"/>
  <c r="F26" i="4"/>
  <c r="E26" i="4"/>
  <c r="C26" i="4"/>
  <c r="H25" i="4"/>
  <c r="F25" i="4"/>
  <c r="C25" i="4"/>
  <c r="H24" i="4"/>
  <c r="F24" i="4"/>
  <c r="C24" i="4"/>
  <c r="H23" i="4"/>
  <c r="F23" i="4"/>
  <c r="C23" i="4"/>
  <c r="H22" i="4"/>
  <c r="F22" i="4"/>
  <c r="C22" i="4"/>
  <c r="H21" i="4"/>
  <c r="F21" i="4"/>
  <c r="C21" i="4"/>
  <c r="H20" i="4"/>
  <c r="F20" i="4"/>
  <c r="C20" i="4"/>
  <c r="E19" i="4" s="1"/>
  <c r="H19" i="4"/>
  <c r="F19" i="4"/>
  <c r="C19" i="4"/>
  <c r="H18" i="4"/>
  <c r="F18" i="4"/>
  <c r="C18" i="4"/>
  <c r="H17" i="4"/>
  <c r="F17" i="4"/>
  <c r="C17" i="4"/>
  <c r="H16" i="4"/>
  <c r="F16" i="4"/>
  <c r="C16" i="4"/>
  <c r="H15" i="4"/>
  <c r="F15" i="4"/>
  <c r="C15" i="4"/>
  <c r="H14" i="4"/>
  <c r="F14" i="4"/>
  <c r="C14" i="4"/>
  <c r="H13" i="4"/>
  <c r="F13" i="4"/>
  <c r="C13" i="4"/>
  <c r="H12" i="4"/>
  <c r="F12" i="4"/>
  <c r="C12" i="4"/>
  <c r="H11" i="4"/>
  <c r="F11" i="4"/>
  <c r="C11" i="4"/>
  <c r="H10" i="4"/>
  <c r="F10" i="4"/>
  <c r="C10" i="4"/>
  <c r="H9" i="4"/>
  <c r="F9" i="4"/>
  <c r="C9" i="4"/>
  <c r="H8" i="4"/>
  <c r="F8" i="4"/>
  <c r="C8" i="4"/>
  <c r="H7" i="4"/>
  <c r="F7" i="4"/>
  <c r="C7" i="4"/>
  <c r="H6" i="4"/>
  <c r="F6" i="4"/>
  <c r="C6" i="4"/>
  <c r="H5" i="4"/>
  <c r="F5" i="4"/>
  <c r="C5" i="4"/>
  <c r="H4" i="4"/>
  <c r="F4" i="4"/>
  <c r="C4" i="4"/>
  <c r="H3" i="4"/>
  <c r="F3" i="4"/>
  <c r="C3" i="4"/>
  <c r="A3" i="4"/>
  <c r="H2" i="4"/>
  <c r="F2" i="4"/>
  <c r="C2" i="4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C88" i="2"/>
  <c r="C87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F2" i="2"/>
  <c r="F3" i="2"/>
  <c r="F4" i="2"/>
  <c r="F89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E19" i="2"/>
  <c r="A86" i="2"/>
  <c r="A87" i="2" s="1"/>
  <c r="A88" i="2" s="1"/>
  <c r="A89" i="2"/>
  <c r="J89" i="2" s="1"/>
  <c r="E74" i="2"/>
  <c r="E50" i="2"/>
  <c r="E26" i="2"/>
  <c r="E67" i="2"/>
  <c r="E43" i="2"/>
  <c r="J89" i="4" l="1"/>
  <c r="A86" i="4"/>
  <c r="A87" i="4" s="1"/>
  <c r="A88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6DA63-33AE-4A3F-94C4-233E03597C99}" keepAlive="1" name="Consulta - 25" description="Conexión a la consulta '25' en el libro." type="5" refreshedVersion="8" background="1" saveData="1">
    <dbPr connection="Provider=Microsoft.Mashup.OleDb.1;Data Source=$Workbook$;Location=25;Extended Properties=&quot;&quot;" command="SELECT * FROM [25]"/>
  </connection>
  <connection id="2" xr16:uid="{05B56B04-8DE6-4326-A3B8-950AD560F258}" keepAlive="1" name="Consulta - 25 (2)" description="Conexión a la consulta '25 (2)' en el libro." type="5" refreshedVersion="8" background="1" saveData="1">
    <dbPr connection="Provider=Microsoft.Mashup.OleDb.1;Data Source=$Workbook$;Location=&quot;25 (2)&quot;;Extended Properties=&quot;&quot;" command="SELECT * FROM [25 (2)]"/>
  </connection>
</connections>
</file>

<file path=xl/sharedStrings.xml><?xml version="1.0" encoding="utf-8"?>
<sst xmlns="http://schemas.openxmlformats.org/spreadsheetml/2006/main" count="127" uniqueCount="35">
  <si>
    <t>Tiempo [s]</t>
  </si>
  <si>
    <t>Tension [V]</t>
  </si>
  <si>
    <t>Corriente [mA]</t>
  </si>
  <si>
    <t>Potencia [mW]</t>
  </si>
  <si>
    <t>Rele 1=activo 0=apagado</t>
  </si>
  <si>
    <t>Fin de medicion</t>
  </si>
  <si>
    <t>Tension [V]2</t>
  </si>
  <si>
    <t>Corriente [mA]2</t>
  </si>
  <si>
    <t>Potencia [mW]2</t>
  </si>
  <si>
    <r>
      <t>Ra [</t>
    </r>
    <r>
      <rPr>
        <sz val="11"/>
        <color theme="1"/>
        <rFont val="Calibri"/>
        <family val="2"/>
      </rPr>
      <t>Ω]</t>
    </r>
  </si>
  <si>
    <t>[mAh]</t>
  </si>
  <si>
    <t>Columna2</t>
  </si>
  <si>
    <r>
      <t>C</t>
    </r>
    <r>
      <rPr>
        <vertAlign val="subscript"/>
        <sz val="11"/>
        <color theme="1"/>
        <rFont val="Calibri"/>
        <family val="2"/>
        <scheme val="minor"/>
      </rPr>
      <t>mAh</t>
    </r>
  </si>
  <si>
    <t>Tiempo [s],Tension [V],Corriente [mA],Potencia [mW],Rele 1=activo 0=apagado</t>
  </si>
  <si>
    <t>0.0000</t>
  </si>
  <si>
    <t>0.000000</t>
  </si>
  <si>
    <t>0.9987</t>
  </si>
  <si>
    <t>0.9975</t>
  </si>
  <si>
    <t>0.9962</t>
  </si>
  <si>
    <t>FechaHora [RTC]</t>
  </si>
  <si>
    <t>0.9625</t>
  </si>
  <si>
    <t>0.9413</t>
  </si>
  <si>
    <t>0.9200</t>
  </si>
  <si>
    <t>0.9025</t>
  </si>
  <si>
    <t>0.8850</t>
  </si>
  <si>
    <t>0.8750</t>
  </si>
  <si>
    <t>0.8675</t>
  </si>
  <si>
    <r>
      <rPr>
        <b/>
        <sz val="11"/>
        <color theme="1"/>
        <rFont val="Calibri"/>
        <family val="2"/>
        <scheme val="minor"/>
      </rPr>
      <t>FechaHora</t>
    </r>
    <r>
      <rPr>
        <sz val="11"/>
        <color theme="1"/>
        <rFont val="Calibri"/>
        <family val="2"/>
        <scheme val="minor"/>
      </rPr>
      <t xml:space="preserve"> [RTC]</t>
    </r>
  </si>
  <si>
    <r>
      <rPr>
        <b/>
        <sz val="11"/>
        <color theme="1"/>
        <rFont val="Calibri"/>
        <family val="2"/>
        <scheme val="minor"/>
      </rPr>
      <t>Tiempo</t>
    </r>
    <r>
      <rPr>
        <sz val="11"/>
        <color theme="1"/>
        <rFont val="Calibri"/>
        <family val="2"/>
        <scheme val="minor"/>
      </rPr>
      <t xml:space="preserve"> [s]</t>
    </r>
  </si>
  <si>
    <r>
      <rPr>
        <b/>
        <sz val="11"/>
        <color theme="1"/>
        <rFont val="Calibri"/>
        <family val="2"/>
        <scheme val="minor"/>
      </rPr>
      <t>Tension</t>
    </r>
    <r>
      <rPr>
        <sz val="11"/>
        <color theme="1"/>
        <rFont val="Calibri"/>
        <family val="2"/>
        <scheme val="minor"/>
      </rPr>
      <t xml:space="preserve"> [V]</t>
    </r>
  </si>
  <si>
    <r>
      <rPr>
        <b/>
        <sz val="11"/>
        <color theme="1"/>
        <rFont val="Calibri"/>
        <family val="2"/>
        <scheme val="minor"/>
      </rPr>
      <t>Corriente</t>
    </r>
    <r>
      <rPr>
        <sz val="11"/>
        <color theme="1"/>
        <rFont val="Calibri"/>
        <family val="2"/>
        <scheme val="minor"/>
      </rPr>
      <t xml:space="preserve"> [mA]</t>
    </r>
  </si>
  <si>
    <r>
      <rPr>
        <b/>
        <sz val="11"/>
        <color theme="1"/>
        <rFont val="Calibri"/>
        <family val="2"/>
        <scheme val="minor"/>
      </rPr>
      <t xml:space="preserve">Potencia </t>
    </r>
    <r>
      <rPr>
        <sz val="11"/>
        <color theme="1"/>
        <rFont val="Calibri"/>
        <family val="2"/>
        <scheme val="minor"/>
      </rPr>
      <t>[mW]</t>
    </r>
  </si>
  <si>
    <r>
      <rPr>
        <b/>
        <sz val="11"/>
        <color theme="1"/>
        <rFont val="Calibri"/>
        <family val="2"/>
        <scheme val="minor"/>
      </rPr>
      <t>Rele</t>
    </r>
    <r>
      <rPr>
        <sz val="11"/>
        <color theme="1"/>
        <rFont val="Calibri"/>
        <family val="2"/>
        <scheme val="minor"/>
      </rPr>
      <t xml:space="preserve"> 1=activo 0=apagado</t>
    </r>
  </si>
  <si>
    <r>
      <t>C</t>
    </r>
    <r>
      <rPr>
        <vertAlign val="subscript"/>
        <sz val="11"/>
        <color theme="1"/>
        <rFont val="Calibri"/>
        <family val="2"/>
        <scheme val="minor"/>
      </rPr>
      <t>mAh2-3</t>
    </r>
  </si>
  <si>
    <r>
      <t xml:space="preserve">R
</t>
    </r>
    <r>
      <rPr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</rPr>
      <t>Ω]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</si>
</sst>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dd/mm/yyyy\ 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1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vertical="center"/>
    </xf>
    <xf numFmtId="166" fontId="1" fillId="4" borderId="0" xfId="0" applyNumberFormat="1" applyFont="1" applyFill="1" applyAlignment="1">
      <alignment vertical="center"/>
    </xf>
    <xf numFmtId="166" fontId="0" fillId="2" borderId="0" xfId="0" applyNumberFormat="1" applyFill="1" applyAlignment="1">
      <alignment vertical="center"/>
    </xf>
    <xf numFmtId="164" fontId="0" fillId="5" borderId="0" xfId="0" applyNumberFormat="1" applyFill="1" applyAlignment="1">
      <alignment vertical="center"/>
    </xf>
    <xf numFmtId="166" fontId="0" fillId="5" borderId="0" xfId="0" applyNumberFormat="1" applyFill="1" applyAlignment="1">
      <alignment vertical="center"/>
    </xf>
    <xf numFmtId="2" fontId="0" fillId="5" borderId="0" xfId="0" applyNumberFormat="1" applyFill="1" applyAlignment="1">
      <alignment vertical="center"/>
    </xf>
    <xf numFmtId="0" fontId="0" fillId="5" borderId="0" xfId="0" applyFill="1" applyAlignment="1">
      <alignment horizontal="center" vertical="center"/>
    </xf>
    <xf numFmtId="2" fontId="1" fillId="6" borderId="0" xfId="0" applyNumberFormat="1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vertical="center"/>
    </xf>
    <xf numFmtId="22" fontId="0" fillId="0" borderId="0" xfId="0" applyNumberFormat="1"/>
    <xf numFmtId="3" fontId="0" fillId="0" borderId="0" xfId="0" applyNumberFormat="1"/>
    <xf numFmtId="0" fontId="5" fillId="0" borderId="0" xfId="0" applyFont="1"/>
    <xf numFmtId="22" fontId="5" fillId="0" borderId="0" xfId="0" applyNumberFormat="1" applyFont="1"/>
    <xf numFmtId="3" fontId="5" fillId="0" borderId="0" xfId="0" applyNumberFormat="1" applyFont="1"/>
    <xf numFmtId="167" fontId="0" fillId="0" borderId="0" xfId="0" applyNumberFormat="1" applyAlignment="1">
      <alignment vertical="center"/>
    </xf>
    <xf numFmtId="167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7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166" fontId="0" fillId="8" borderId="2" xfId="0" applyNumberFormat="1" applyFill="1" applyBorder="1" applyAlignment="1">
      <alignment horizontal="center" vertical="center" wrapText="1"/>
    </xf>
    <xf numFmtId="165" fontId="0" fillId="8" borderId="2" xfId="0" applyNumberFormat="1" applyFill="1" applyBorder="1" applyAlignment="1">
      <alignment horizontal="center" vertical="center" wrapText="1"/>
    </xf>
    <xf numFmtId="166" fontId="1" fillId="5" borderId="0" xfId="0" applyNumberFormat="1" applyFont="1" applyFill="1" applyAlignment="1">
      <alignment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2" fontId="1" fillId="5" borderId="0" xfId="0" applyNumberFormat="1" applyFont="1" applyFill="1" applyAlignment="1">
      <alignment vertical="center"/>
    </xf>
    <xf numFmtId="0" fontId="0" fillId="9" borderId="0" xfId="0" applyFill="1" applyAlignment="1">
      <alignment vertical="center"/>
    </xf>
    <xf numFmtId="2" fontId="1" fillId="9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67" fontId="0" fillId="0" borderId="0" xfId="0" applyNumberFormat="1"/>
    <xf numFmtId="167" fontId="0" fillId="8" borderId="5" xfId="0" applyNumberForma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164" fontId="0" fillId="8" borderId="5" xfId="0" applyNumberFormat="1" applyFill="1" applyBorder="1" applyAlignment="1">
      <alignment horizontal="center" vertical="center" wrapText="1"/>
    </xf>
    <xf numFmtId="166" fontId="0" fillId="8" borderId="5" xfId="0" applyNumberFormat="1" applyFill="1" applyBorder="1" applyAlignment="1">
      <alignment horizontal="center" vertical="center" wrapText="1"/>
    </xf>
    <xf numFmtId="165" fontId="0" fillId="8" borderId="5" xfId="0" applyNumberForma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vertical="center"/>
    </xf>
    <xf numFmtId="164" fontId="1" fillId="5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2" fontId="1" fillId="2" borderId="0" xfId="0" applyNumberFormat="1" applyFont="1" applyFill="1" applyAlignment="1">
      <alignment vertical="center"/>
    </xf>
    <xf numFmtId="0" fontId="0" fillId="3" borderId="7" xfId="0" applyFill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50"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0000"/>
      <alignment horizontal="general" vertical="center" textRotation="0" wrapText="0" indent="0" justifyLastLine="0" shrinkToFit="0" readingOrder="0"/>
    </dxf>
    <dxf>
      <numFmt numFmtId="165" formatCode="0.00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166" formatCode="0.0000"/>
      <alignment horizontal="general" vertical="center" textRotation="0" wrapText="0" indent="0" justifyLastLine="0" shrinkToFit="0" readingOrder="0"/>
    </dxf>
    <dxf>
      <numFmt numFmtId="166" formatCode="0.0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0.00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6" formatCode="0.0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0.0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0.0000"/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Descarga AAA Vcorte 1,1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0765747788264032E-2"/>
          <c:y val="7.7621530873246553E-2"/>
          <c:w val="0.89093490700354716"/>
          <c:h val="0.86362680601892605"/>
        </c:manualLayout>
      </c:layout>
      <c:scatterChart>
        <c:scatterStyle val="lineMarker"/>
        <c:varyColors val="0"/>
        <c:ser>
          <c:idx val="2"/>
          <c:order val="1"/>
          <c:tx>
            <c:strRef>
              <c:f>'25'!$F$1</c:f>
              <c:strCache>
                <c:ptCount val="1"/>
                <c:pt idx="0">
                  <c:v>Corriente [mA]2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'25'!$A$2:$A$88</c:f>
              <c:numCache>
                <c:formatCode>0</c:formatCode>
                <c:ptCount val="8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</c:numCache>
            </c:numRef>
          </c:xVal>
          <c:yVal>
            <c:numRef>
              <c:f>'25'!$F$2:$F$88</c:f>
              <c:numCache>
                <c:formatCode>0.000</c:formatCode>
                <c:ptCount val="87"/>
                <c:pt idx="0">
                  <c:v>0</c:v>
                </c:pt>
                <c:pt idx="1">
                  <c:v>425.48700000000002</c:v>
                </c:pt>
                <c:pt idx="2">
                  <c:v>419.81200000000001</c:v>
                </c:pt>
                <c:pt idx="3">
                  <c:v>416.11200000000002</c:v>
                </c:pt>
                <c:pt idx="4">
                  <c:v>413.18700000000001</c:v>
                </c:pt>
                <c:pt idx="5">
                  <c:v>410.91199999999998</c:v>
                </c:pt>
                <c:pt idx="6">
                  <c:v>409.31200000000001</c:v>
                </c:pt>
                <c:pt idx="7">
                  <c:v>407.51299999999998</c:v>
                </c:pt>
                <c:pt idx="8">
                  <c:v>405.96300000000002</c:v>
                </c:pt>
                <c:pt idx="9">
                  <c:v>404.46300000000002</c:v>
                </c:pt>
                <c:pt idx="10">
                  <c:v>403.113</c:v>
                </c:pt>
                <c:pt idx="11">
                  <c:v>401.78800000000001</c:v>
                </c:pt>
                <c:pt idx="12">
                  <c:v>400.56299999999999</c:v>
                </c:pt>
                <c:pt idx="13">
                  <c:v>399.38799999999998</c:v>
                </c:pt>
                <c:pt idx="14">
                  <c:v>398.26299999999998</c:v>
                </c:pt>
                <c:pt idx="15">
                  <c:v>397.26299999999998</c:v>
                </c:pt>
                <c:pt idx="16">
                  <c:v>396.21300000000002</c:v>
                </c:pt>
                <c:pt idx="17">
                  <c:v>395.21300000000002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402.26299999999998</c:v>
                </c:pt>
                <c:pt idx="25">
                  <c:v>398.91300000000001</c:v>
                </c:pt>
                <c:pt idx="26">
                  <c:v>396.63799999999998</c:v>
                </c:pt>
                <c:pt idx="27">
                  <c:v>394.88799999999998</c:v>
                </c:pt>
                <c:pt idx="28">
                  <c:v>393.43799999999999</c:v>
                </c:pt>
                <c:pt idx="29">
                  <c:v>392.113</c:v>
                </c:pt>
                <c:pt idx="30">
                  <c:v>390.988</c:v>
                </c:pt>
                <c:pt idx="31">
                  <c:v>389.88799999999998</c:v>
                </c:pt>
                <c:pt idx="32">
                  <c:v>388.91300000000001</c:v>
                </c:pt>
                <c:pt idx="33">
                  <c:v>388.01299999999998</c:v>
                </c:pt>
                <c:pt idx="34">
                  <c:v>387.13799999999998</c:v>
                </c:pt>
                <c:pt idx="35">
                  <c:v>386.28800000000001</c:v>
                </c:pt>
                <c:pt idx="36">
                  <c:v>385.488</c:v>
                </c:pt>
                <c:pt idx="37">
                  <c:v>384.66300000000001</c:v>
                </c:pt>
                <c:pt idx="38">
                  <c:v>383.91300000000001</c:v>
                </c:pt>
                <c:pt idx="39">
                  <c:v>383.16300000000001</c:v>
                </c:pt>
                <c:pt idx="40">
                  <c:v>382.51299999999998</c:v>
                </c:pt>
                <c:pt idx="41">
                  <c:v>381.96300000000002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389.41300000000001</c:v>
                </c:pt>
                <c:pt idx="49">
                  <c:v>386.41300000000001</c:v>
                </c:pt>
                <c:pt idx="50">
                  <c:v>384.43799999999999</c:v>
                </c:pt>
                <c:pt idx="51">
                  <c:v>382.96300000000002</c:v>
                </c:pt>
                <c:pt idx="52">
                  <c:v>381.738</c:v>
                </c:pt>
                <c:pt idx="53">
                  <c:v>380.83800000000002</c:v>
                </c:pt>
                <c:pt idx="54">
                  <c:v>379.91300000000001</c:v>
                </c:pt>
                <c:pt idx="55">
                  <c:v>379.08800000000002</c:v>
                </c:pt>
                <c:pt idx="56">
                  <c:v>378.31299999999999</c:v>
                </c:pt>
                <c:pt idx="57">
                  <c:v>377.58800000000002</c:v>
                </c:pt>
                <c:pt idx="58">
                  <c:v>376.93799999999999</c:v>
                </c:pt>
                <c:pt idx="59">
                  <c:v>376.26400000000001</c:v>
                </c:pt>
                <c:pt idx="60">
                  <c:v>375.63900000000001</c:v>
                </c:pt>
                <c:pt idx="61">
                  <c:v>375.03899999999999</c:v>
                </c:pt>
                <c:pt idx="62">
                  <c:v>374.43900000000002</c:v>
                </c:pt>
                <c:pt idx="63">
                  <c:v>373.86399999999998</c:v>
                </c:pt>
                <c:pt idx="64">
                  <c:v>373.31400000000002</c:v>
                </c:pt>
                <c:pt idx="65">
                  <c:v>372.76400000000001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380.41300000000001</c:v>
                </c:pt>
                <c:pt idx="73">
                  <c:v>377.41300000000001</c:v>
                </c:pt>
                <c:pt idx="74">
                  <c:v>375.48899999999998</c:v>
                </c:pt>
                <c:pt idx="75">
                  <c:v>374.06400000000002</c:v>
                </c:pt>
                <c:pt idx="76">
                  <c:v>372.91399999999999</c:v>
                </c:pt>
                <c:pt idx="77">
                  <c:v>371.93900000000002</c:v>
                </c:pt>
                <c:pt idx="78">
                  <c:v>371.03899999999999</c:v>
                </c:pt>
                <c:pt idx="79">
                  <c:v>370.23899999999998</c:v>
                </c:pt>
                <c:pt idx="80">
                  <c:v>369.53899999999999</c:v>
                </c:pt>
                <c:pt idx="81">
                  <c:v>368.839</c:v>
                </c:pt>
                <c:pt idx="82">
                  <c:v>368.214</c:v>
                </c:pt>
                <c:pt idx="83">
                  <c:v>367.589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54-458A-A898-86873663A7B9}"/>
            </c:ext>
          </c:extLst>
        </c:ser>
        <c:ser>
          <c:idx val="3"/>
          <c:order val="2"/>
          <c:tx>
            <c:strRef>
              <c:f>'25'!$H$1</c:f>
              <c:strCache>
                <c:ptCount val="1"/>
                <c:pt idx="0">
                  <c:v>Potencia [mW]2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'25'!$A$2:$A$88</c:f>
              <c:numCache>
                <c:formatCode>0</c:formatCode>
                <c:ptCount val="8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</c:numCache>
            </c:numRef>
          </c:xVal>
          <c:yVal>
            <c:numRef>
              <c:f>'25'!$H$2:$H$88</c:f>
              <c:numCache>
                <c:formatCode>0.00000</c:formatCode>
                <c:ptCount val="87"/>
                <c:pt idx="0">
                  <c:v>0</c:v>
                </c:pt>
                <c:pt idx="1">
                  <c:v>542.48344999999995</c:v>
                </c:pt>
                <c:pt idx="2">
                  <c:v>528.10888</c:v>
                </c:pt>
                <c:pt idx="3">
                  <c:v>519.35913000000005</c:v>
                </c:pt>
                <c:pt idx="4">
                  <c:v>510.60939999999999</c:v>
                </c:pt>
                <c:pt idx="5">
                  <c:v>504.98457999999999</c:v>
                </c:pt>
                <c:pt idx="6">
                  <c:v>502.48468000000003</c:v>
                </c:pt>
                <c:pt idx="7">
                  <c:v>497.48480000000001</c:v>
                </c:pt>
                <c:pt idx="8">
                  <c:v>494.35991999999999</c:v>
                </c:pt>
                <c:pt idx="9">
                  <c:v>490.61000999999999</c:v>
                </c:pt>
                <c:pt idx="10">
                  <c:v>487.48509999999999</c:v>
                </c:pt>
                <c:pt idx="11">
                  <c:v>483.11025999999998</c:v>
                </c:pt>
                <c:pt idx="12">
                  <c:v>479.98534999999998</c:v>
                </c:pt>
                <c:pt idx="13">
                  <c:v>478.11041</c:v>
                </c:pt>
                <c:pt idx="14">
                  <c:v>474.9855</c:v>
                </c:pt>
                <c:pt idx="15">
                  <c:v>473.11056000000002</c:v>
                </c:pt>
                <c:pt idx="16">
                  <c:v>469.98565000000002</c:v>
                </c:pt>
                <c:pt idx="17">
                  <c:v>468.11070999999998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485.61016000000001</c:v>
                </c:pt>
                <c:pt idx="25">
                  <c:v>477.48541</c:v>
                </c:pt>
                <c:pt idx="26">
                  <c:v>471.23561999999998</c:v>
                </c:pt>
                <c:pt idx="27">
                  <c:v>466.86074000000002</c:v>
                </c:pt>
                <c:pt idx="28">
                  <c:v>463.73583000000002</c:v>
                </c:pt>
                <c:pt idx="29">
                  <c:v>460.61093</c:v>
                </c:pt>
                <c:pt idx="30">
                  <c:v>458.11102</c:v>
                </c:pt>
                <c:pt idx="31">
                  <c:v>455.61108000000002</c:v>
                </c:pt>
                <c:pt idx="32">
                  <c:v>453.11117000000002</c:v>
                </c:pt>
                <c:pt idx="33">
                  <c:v>450.61122999999998</c:v>
                </c:pt>
                <c:pt idx="34">
                  <c:v>449.36129</c:v>
                </c:pt>
                <c:pt idx="35">
                  <c:v>447.48631999999998</c:v>
                </c:pt>
                <c:pt idx="36">
                  <c:v>445.61138</c:v>
                </c:pt>
                <c:pt idx="37">
                  <c:v>443.11147999999997</c:v>
                </c:pt>
                <c:pt idx="38">
                  <c:v>440.61153999999999</c:v>
                </c:pt>
                <c:pt idx="39">
                  <c:v>439.36160000000001</c:v>
                </c:pt>
                <c:pt idx="40">
                  <c:v>437.48662999999999</c:v>
                </c:pt>
                <c:pt idx="41">
                  <c:v>436.23669000000001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453.73613999999998</c:v>
                </c:pt>
                <c:pt idx="49">
                  <c:v>446.86135000000002</c:v>
                </c:pt>
                <c:pt idx="50">
                  <c:v>442.48651000000001</c:v>
                </c:pt>
                <c:pt idx="51">
                  <c:v>439.36160000000001</c:v>
                </c:pt>
                <c:pt idx="52">
                  <c:v>436.23669000000001</c:v>
                </c:pt>
                <c:pt idx="53">
                  <c:v>434.36174999999997</c:v>
                </c:pt>
                <c:pt idx="54">
                  <c:v>431.86180999999999</c:v>
                </c:pt>
                <c:pt idx="55">
                  <c:v>429.98687000000001</c:v>
                </c:pt>
                <c:pt idx="56">
                  <c:v>428.11192999999997</c:v>
                </c:pt>
                <c:pt idx="57">
                  <c:v>426.86196000000001</c:v>
                </c:pt>
                <c:pt idx="58">
                  <c:v>424.98703</c:v>
                </c:pt>
                <c:pt idx="59">
                  <c:v>423.73705999999999</c:v>
                </c:pt>
                <c:pt idx="60">
                  <c:v>422.48712</c:v>
                </c:pt>
                <c:pt idx="61">
                  <c:v>420.61214999999999</c:v>
                </c:pt>
                <c:pt idx="62">
                  <c:v>419.98718000000002</c:v>
                </c:pt>
                <c:pt idx="63">
                  <c:v>417.48723999999999</c:v>
                </c:pt>
                <c:pt idx="64">
                  <c:v>416.86227000000002</c:v>
                </c:pt>
                <c:pt idx="65">
                  <c:v>415.6123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433.11178000000001</c:v>
                </c:pt>
                <c:pt idx="73">
                  <c:v>426.23698999999999</c:v>
                </c:pt>
                <c:pt idx="74">
                  <c:v>421.86212</c:v>
                </c:pt>
                <c:pt idx="75">
                  <c:v>418.73721</c:v>
                </c:pt>
                <c:pt idx="76">
                  <c:v>415.6123</c:v>
                </c:pt>
                <c:pt idx="77">
                  <c:v>413.73736000000002</c:v>
                </c:pt>
                <c:pt idx="78">
                  <c:v>412.48741999999999</c:v>
                </c:pt>
                <c:pt idx="79">
                  <c:v>410.61245000000002</c:v>
                </c:pt>
                <c:pt idx="80">
                  <c:v>408.73750999999999</c:v>
                </c:pt>
                <c:pt idx="81">
                  <c:v>407.48754000000002</c:v>
                </c:pt>
                <c:pt idx="82">
                  <c:v>405.61259999999999</c:v>
                </c:pt>
                <c:pt idx="83">
                  <c:v>404.36266999999998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54-458A-A898-86873663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402815"/>
        <c:axId val="2103405695"/>
      </c:scatterChart>
      <c:scatterChart>
        <c:scatterStyle val="lineMarker"/>
        <c:varyColors val="0"/>
        <c:ser>
          <c:idx val="1"/>
          <c:order val="0"/>
          <c:tx>
            <c:strRef>
              <c:f>'25'!$C$1</c:f>
              <c:strCache>
                <c:ptCount val="1"/>
                <c:pt idx="0">
                  <c:v>Tension [V]2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'25'!$A$2:$A$88</c:f>
              <c:numCache>
                <c:formatCode>0</c:formatCode>
                <c:ptCount val="8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</c:numCache>
            </c:numRef>
          </c:xVal>
          <c:yVal>
            <c:numRef>
              <c:f>'25'!$C$2:$C$88</c:f>
              <c:numCache>
                <c:formatCode>0.000</c:formatCode>
                <c:ptCount val="87"/>
                <c:pt idx="0">
                  <c:v>1.5760000000000001</c:v>
                </c:pt>
                <c:pt idx="1">
                  <c:v>1.276</c:v>
                </c:pt>
                <c:pt idx="2">
                  <c:v>1.2589999999999999</c:v>
                </c:pt>
                <c:pt idx="3">
                  <c:v>1.2470000000000001</c:v>
                </c:pt>
                <c:pt idx="4">
                  <c:v>1.236</c:v>
                </c:pt>
                <c:pt idx="5">
                  <c:v>1.2290000000000001</c:v>
                </c:pt>
                <c:pt idx="6">
                  <c:v>1.2270000000000001</c:v>
                </c:pt>
                <c:pt idx="7">
                  <c:v>1.2210000000000001</c:v>
                </c:pt>
                <c:pt idx="8">
                  <c:v>1.2170000000000001</c:v>
                </c:pt>
                <c:pt idx="9">
                  <c:v>1.212</c:v>
                </c:pt>
                <c:pt idx="10">
                  <c:v>1.2090000000000001</c:v>
                </c:pt>
                <c:pt idx="11">
                  <c:v>1.204</c:v>
                </c:pt>
                <c:pt idx="12">
                  <c:v>1.2</c:v>
                </c:pt>
                <c:pt idx="13">
                  <c:v>1.1970000000000001</c:v>
                </c:pt>
                <c:pt idx="14">
                  <c:v>1.194</c:v>
                </c:pt>
                <c:pt idx="15">
                  <c:v>1.19</c:v>
                </c:pt>
                <c:pt idx="16">
                  <c:v>1.1870000000000001</c:v>
                </c:pt>
                <c:pt idx="17">
                  <c:v>1.1839999999999999</c:v>
                </c:pt>
                <c:pt idx="18">
                  <c:v>1.4419999999999999</c:v>
                </c:pt>
                <c:pt idx="19">
                  <c:v>1.454</c:v>
                </c:pt>
                <c:pt idx="20">
                  <c:v>1.46</c:v>
                </c:pt>
                <c:pt idx="21">
                  <c:v>1.4650000000000001</c:v>
                </c:pt>
                <c:pt idx="22">
                  <c:v>1.47</c:v>
                </c:pt>
                <c:pt idx="23">
                  <c:v>1.474</c:v>
                </c:pt>
                <c:pt idx="24">
                  <c:v>1.206</c:v>
                </c:pt>
                <c:pt idx="25">
                  <c:v>1.196</c:v>
                </c:pt>
                <c:pt idx="26">
                  <c:v>1.1890000000000001</c:v>
                </c:pt>
                <c:pt idx="27">
                  <c:v>1.1839999999999999</c:v>
                </c:pt>
                <c:pt idx="28">
                  <c:v>1.179</c:v>
                </c:pt>
                <c:pt idx="29">
                  <c:v>1.175</c:v>
                </c:pt>
                <c:pt idx="30">
                  <c:v>1.1719999999999999</c:v>
                </c:pt>
                <c:pt idx="31">
                  <c:v>1.169</c:v>
                </c:pt>
                <c:pt idx="32">
                  <c:v>1.1659999999999999</c:v>
                </c:pt>
                <c:pt idx="33">
                  <c:v>1.1619999999999999</c:v>
                </c:pt>
                <c:pt idx="34">
                  <c:v>1.1599999999999999</c:v>
                </c:pt>
                <c:pt idx="35">
                  <c:v>1.157</c:v>
                </c:pt>
                <c:pt idx="36">
                  <c:v>1.155</c:v>
                </c:pt>
                <c:pt idx="37">
                  <c:v>1.1539999999999999</c:v>
                </c:pt>
                <c:pt idx="38">
                  <c:v>1.147</c:v>
                </c:pt>
                <c:pt idx="39">
                  <c:v>1.1459999999999999</c:v>
                </c:pt>
                <c:pt idx="40">
                  <c:v>1.1439999999999999</c:v>
                </c:pt>
                <c:pt idx="41">
                  <c:v>1.141</c:v>
                </c:pt>
                <c:pt idx="42">
                  <c:v>1.401</c:v>
                </c:pt>
                <c:pt idx="43">
                  <c:v>1.411</c:v>
                </c:pt>
                <c:pt idx="44">
                  <c:v>1.419</c:v>
                </c:pt>
                <c:pt idx="45">
                  <c:v>1.4239999999999999</c:v>
                </c:pt>
                <c:pt idx="46">
                  <c:v>1.427</c:v>
                </c:pt>
                <c:pt idx="47">
                  <c:v>1.43</c:v>
                </c:pt>
                <c:pt idx="48">
                  <c:v>1.1659999999999999</c:v>
                </c:pt>
                <c:pt idx="49">
                  <c:v>1.157</c:v>
                </c:pt>
                <c:pt idx="50">
                  <c:v>1.1499999999999999</c:v>
                </c:pt>
                <c:pt idx="51">
                  <c:v>1.1459999999999999</c:v>
                </c:pt>
                <c:pt idx="52">
                  <c:v>1.1419999999999999</c:v>
                </c:pt>
                <c:pt idx="53">
                  <c:v>1.1399999999999999</c:v>
                </c:pt>
                <c:pt idx="54">
                  <c:v>1.137</c:v>
                </c:pt>
                <c:pt idx="55">
                  <c:v>1.135</c:v>
                </c:pt>
                <c:pt idx="56">
                  <c:v>1.1319999999999999</c:v>
                </c:pt>
                <c:pt idx="57">
                  <c:v>1.1299999999999999</c:v>
                </c:pt>
                <c:pt idx="58">
                  <c:v>1.129</c:v>
                </c:pt>
                <c:pt idx="59">
                  <c:v>1.1259999999999999</c:v>
                </c:pt>
                <c:pt idx="60">
                  <c:v>1.125</c:v>
                </c:pt>
                <c:pt idx="61">
                  <c:v>1.1220000000000001</c:v>
                </c:pt>
                <c:pt idx="62">
                  <c:v>1.1200000000000001</c:v>
                </c:pt>
                <c:pt idx="63">
                  <c:v>1.119</c:v>
                </c:pt>
                <c:pt idx="64">
                  <c:v>1.117</c:v>
                </c:pt>
                <c:pt idx="65">
                  <c:v>1.1160000000000001</c:v>
                </c:pt>
                <c:pt idx="66">
                  <c:v>1.377</c:v>
                </c:pt>
                <c:pt idx="67">
                  <c:v>1.387</c:v>
                </c:pt>
                <c:pt idx="68">
                  <c:v>1.395</c:v>
                </c:pt>
                <c:pt idx="69">
                  <c:v>1.4</c:v>
                </c:pt>
                <c:pt idx="70">
                  <c:v>1.4039999999999999</c:v>
                </c:pt>
                <c:pt idx="71">
                  <c:v>1.4059999999999999</c:v>
                </c:pt>
                <c:pt idx="72">
                  <c:v>1.139</c:v>
                </c:pt>
                <c:pt idx="73">
                  <c:v>1.1299999999999999</c:v>
                </c:pt>
                <c:pt idx="74">
                  <c:v>1.1240000000000001</c:v>
                </c:pt>
                <c:pt idx="75">
                  <c:v>1.1200000000000001</c:v>
                </c:pt>
                <c:pt idx="76">
                  <c:v>1.1160000000000001</c:v>
                </c:pt>
                <c:pt idx="77">
                  <c:v>1.1140000000000001</c:v>
                </c:pt>
                <c:pt idx="78">
                  <c:v>1.111</c:v>
                </c:pt>
                <c:pt idx="79">
                  <c:v>1.109</c:v>
                </c:pt>
                <c:pt idx="80">
                  <c:v>1.1060000000000001</c:v>
                </c:pt>
                <c:pt idx="81">
                  <c:v>1.1040000000000001</c:v>
                </c:pt>
                <c:pt idx="82">
                  <c:v>1.1020000000000001</c:v>
                </c:pt>
                <c:pt idx="83">
                  <c:v>1.1000000000000001</c:v>
                </c:pt>
                <c:pt idx="84">
                  <c:v>1.4061999999999999</c:v>
                </c:pt>
                <c:pt idx="85">
                  <c:v>1.4061999999999999</c:v>
                </c:pt>
                <c:pt idx="86">
                  <c:v>1.4061999999999999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54-458A-A898-86873663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083151"/>
        <c:axId val="2104084111"/>
      </c:scatterChart>
      <c:valAx>
        <c:axId val="2103402815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03405695"/>
        <c:crosses val="autoZero"/>
        <c:crossBetween val="midCat"/>
      </c:valAx>
      <c:valAx>
        <c:axId val="21034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03402815"/>
        <c:crosses val="autoZero"/>
        <c:crossBetween val="midCat"/>
      </c:valAx>
      <c:valAx>
        <c:axId val="2104084111"/>
        <c:scaling>
          <c:orientation val="minMax"/>
          <c:max val="1.6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04083151"/>
        <c:crosses val="max"/>
        <c:crossBetween val="midCat"/>
      </c:valAx>
      <c:valAx>
        <c:axId val="2104083151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210408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943657508880738"/>
          <c:y val="0.60890987463372082"/>
          <c:w val="0.31781975293653181"/>
          <c:h val="3.5316055577874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F97EEE-4732-412E-80BF-49FA0B8C78AB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684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9D9D28-0D99-1E18-646A-50699E54A7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A92DA24-B402-439B-848C-2958DE0FAF01}" autoFormatId="16" applyNumberFormats="0" applyBorderFormats="0" applyFontFormats="0" applyPatternFormats="0" applyAlignmentFormats="0" applyWidthHeightFormats="0">
  <queryTableRefresh nextId="13" unboundColumnsRight="2">
    <queryTableFields count="11">
      <queryTableField id="1" name="Tiempo [s]" tableColumnId="1"/>
      <queryTableField id="2" name="Tension [V]" tableColumnId="2"/>
      <queryTableField id="6" dataBound="0" tableColumnId="6"/>
      <queryTableField id="3" name="Corriente [mA]" tableColumnId="3"/>
      <queryTableField id="10" dataBound="0" tableColumnId="10"/>
      <queryTableField id="7" dataBound="0" tableColumnId="7"/>
      <queryTableField id="4" name="Potencia [mW]" tableColumnId="4"/>
      <queryTableField id="8" dataBound="0" tableColumnId="8"/>
      <queryTableField id="5" name="Rele 1=activo 0=apagado" tableColumnId="5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37C37BE-A032-425E-9530-561A40BEF1CD}" autoFormatId="16" applyNumberFormats="0" applyBorderFormats="0" applyFontFormats="0" applyPatternFormats="0" applyAlignmentFormats="0" applyWidthHeightFormats="0">
  <queryTableRefresh nextId="13" unboundColumnsRight="2">
    <queryTableFields count="11">
      <queryTableField id="1" name="Tiempo [s]" tableColumnId="1"/>
      <queryTableField id="2" name="Tension [V]" tableColumnId="2"/>
      <queryTableField id="6" dataBound="0" tableColumnId="6"/>
      <queryTableField id="3" name="Corriente [mA]" tableColumnId="3"/>
      <queryTableField id="10" dataBound="0" tableColumnId="10"/>
      <queryTableField id="7" dataBound="0" tableColumnId="7"/>
      <queryTableField id="4" name="Potencia [mW]" tableColumnId="4"/>
      <queryTableField id="8" dataBound="0" tableColumnId="8"/>
      <queryTableField id="5" name="Rele 1=activo 0=apagado" tableColumnId="5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54071-7FC0-4B88-AECE-CCA0D5BEEA4E}" name="_25" displayName="_25" ref="A1:K89" tableType="queryTable" totalsRowCount="1" headerRowDxfId="49" dataDxfId="48" totalsRowDxfId="47">
  <autoFilter ref="A1:K88" xr:uid="{73854071-7FC0-4B88-AECE-CCA0D5BEEA4E}"/>
  <tableColumns count="11">
    <tableColumn id="1" xr3:uid="{96160195-F64E-41AA-81B3-986D71D4F780}" uniqueName="1" name="Tiempo [s]" totalsRowFunction="custom" queryTableFieldId="1" dataDxfId="46" totalsRowDxfId="45">
      <totalsRowFormula>(A85/60)/60</totalsRowFormula>
    </tableColumn>
    <tableColumn id="2" xr3:uid="{CD1377E7-9802-4881-8F80-90B1AA9FE415}" uniqueName="2" name="Tension [V]" queryTableFieldId="2" dataDxfId="44" totalsRowDxfId="43"/>
    <tableColumn id="6" xr3:uid="{70596AC7-C14C-4F79-A0BE-7CD88F44A819}" uniqueName="6" name="Tension [V]2" queryTableFieldId="6" dataDxfId="42" totalsRowDxfId="41">
      <calculatedColumnFormula>_25[[#This Row],[Tension '[V']]]/1000</calculatedColumnFormula>
    </tableColumn>
    <tableColumn id="3" xr3:uid="{17D0EB49-8C24-4A54-A938-3F938BD79036}" uniqueName="3" name="Corriente [mA]" queryTableFieldId="3" dataDxfId="40" totalsRowDxfId="39"/>
    <tableColumn id="10" xr3:uid="{54E5B3D7-19B7-42B0-8DB1-8FDEFC115EC9}" uniqueName="10" name="Ra [Ω]" queryTableFieldId="10" dataDxfId="38" totalsRowDxfId="37">
      <calculatedColumnFormula>(C4-C3)/(F1/1000)</calculatedColumnFormula>
    </tableColumn>
    <tableColumn id="7" xr3:uid="{F3E665F5-2E8C-4380-9FB1-81914E9F7EE2}" uniqueName="7" name="Corriente [mA]2" totalsRowFunction="custom" queryTableFieldId="7" dataDxfId="36" totalsRowDxfId="35">
      <calculatedColumnFormula>_25[[#This Row],[Corriente '[mA']]]/1000</calculatedColumnFormula>
      <totalsRowFormula>AVERAGEIF(_25[Corriente '[mA']2],"&gt;0")</totalsRowFormula>
    </tableColumn>
    <tableColumn id="4" xr3:uid="{5DDD390A-0CCF-4720-8876-3E079C262B6A}" uniqueName="4" name="Potencia [mW]" queryTableFieldId="4" dataDxfId="34" totalsRowDxfId="33"/>
    <tableColumn id="8" xr3:uid="{9CB30915-C13E-4B7B-BC1A-9FF4EBCE8EE2}" uniqueName="8" name="Potencia [mW]2" queryTableFieldId="8" dataDxfId="32" totalsRowDxfId="31">
      <calculatedColumnFormula>_25[[#This Row],[Potencia '[mW']]]/100000</calculatedColumnFormula>
    </tableColumn>
    <tableColumn id="5" xr3:uid="{DB0D8CC4-A1F8-4710-9D5A-5F62D5528D5D}" uniqueName="5" name="Rele 1=activo 0=apagado" queryTableFieldId="5" dataDxfId="30" totalsRowDxfId="29"/>
    <tableColumn id="11" xr3:uid="{2B5AA038-B00C-48D7-81EF-164B45C8CE93}" uniqueName="11" name="CmAh" totalsRowFunction="custom" queryTableFieldId="11" dataDxfId="28" totalsRowDxfId="27">
      <totalsRowFormula>_25[[#Totals],[Corriente '[mA']2]]*_25[[#Totals],[Tiempo '[s']]]</totalsRowFormula>
    </tableColumn>
    <tableColumn id="12" xr3:uid="{D8AAD1F2-C5FF-401E-8DE6-755DC06EFB76}" uniqueName="12" name="Columna2" totalsRowLabel="[mAh]" queryTableFieldId="12" dataDxfId="26" totalsRow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9E2DD-473F-4F27-89DC-8D993CECC68F}" name="_25_3" displayName="_25_3" ref="A1:K89" tableType="queryTable" totalsRowCount="1" headerRowDxfId="24" dataDxfId="23" totalsRowDxfId="22">
  <autoFilter ref="A1:K88" xr:uid="{73854071-7FC0-4B88-AECE-CCA0D5BEEA4E}"/>
  <tableColumns count="11">
    <tableColumn id="1" xr3:uid="{FEE4E0C4-8C2B-4186-B31D-B92B94144653}" uniqueName="1" name="Tiempo [s]" totalsRowFunction="custom" queryTableFieldId="1" dataDxfId="21" totalsRowDxfId="20">
      <totalsRowFormula>(A85-(A73-A68)-(A49-A44)-(A25-A20))/3600</totalsRowFormula>
    </tableColumn>
    <tableColumn id="2" xr3:uid="{8CFE03DB-9713-49DF-8DFB-91EB15491291}" uniqueName="2" name="Tension [V]" queryTableFieldId="2" dataDxfId="19" totalsRowDxfId="18"/>
    <tableColumn id="6" xr3:uid="{4859F7CF-8442-418C-9402-E7297FD5E10A}" uniqueName="6" name="Tension [V]2" queryTableFieldId="6" dataDxfId="17" totalsRowDxfId="16">
      <calculatedColumnFormula>_25_3[[#This Row],[Tension '[V']]]/1000</calculatedColumnFormula>
    </tableColumn>
    <tableColumn id="3" xr3:uid="{486F8A19-D6E8-4DED-980C-4E365E6A5F56}" uniqueName="3" name="Corriente [mA]" queryTableFieldId="3" dataDxfId="15" totalsRowDxfId="14"/>
    <tableColumn id="10" xr3:uid="{0E84AC81-CE3D-400B-9353-3A2A1A3E5F5B}" uniqueName="10" name="Ra [Ω]" queryTableFieldId="10" dataDxfId="13" totalsRowDxfId="12">
      <calculatedColumnFormula>(C4-C3)/(F1/1000)</calculatedColumnFormula>
    </tableColumn>
    <tableColumn id="7" xr3:uid="{46ED9289-55B8-4B91-A550-6DABF5BDF270}" uniqueName="7" name="Corriente [mA]2" totalsRowFunction="custom" queryTableFieldId="7" dataDxfId="11" totalsRowDxfId="10">
      <calculatedColumnFormula>_25_3[[#This Row],[Corriente '[mA']]]/1000</calculatedColumnFormula>
      <totalsRowFormula>AVERAGEIF(_25_3[Corriente '[mA']2],"&gt;0")</totalsRowFormula>
    </tableColumn>
    <tableColumn id="4" xr3:uid="{06D24AE8-2567-403D-87E0-9D8B3420A2B7}" uniqueName="4" name="Potencia [mW]" queryTableFieldId="4" dataDxfId="9" totalsRowDxfId="8"/>
    <tableColumn id="8" xr3:uid="{4DDF05BB-1D4E-4AB3-9FED-726EEB0ECACE}" uniqueName="8" name="Potencia [mW]2" queryTableFieldId="8" dataDxfId="7" totalsRowDxfId="6">
      <calculatedColumnFormula>_25_3[[#This Row],[Potencia '[mW']]]/100000</calculatedColumnFormula>
    </tableColumn>
    <tableColumn id="5" xr3:uid="{D8C9FC8C-1A6E-47FA-931E-3D0434FAC8BC}" uniqueName="5" name="Rele 1=activo 0=apagado" queryTableFieldId="5" dataDxfId="5" totalsRowDxfId="4"/>
    <tableColumn id="11" xr3:uid="{68407844-5E8C-4767-98AE-76E916A19B71}" uniqueName="11" name="CmAh" totalsRowFunction="custom" queryTableFieldId="11" dataDxfId="3" totalsRowDxfId="2">
      <calculatedColumnFormula>($A$3/3600)*((F1+F2)/2)</calculatedColumnFormula>
      <totalsRowFormula>_25_3[[#Totals],[Corriente '[mA']2]]*_25_3[[#Totals],[Tiempo '[s']]]</totalsRowFormula>
    </tableColumn>
    <tableColumn id="12" xr3:uid="{12657AA7-F4A8-414F-96DE-BFE959783688}" uniqueName="12" name="CmAh2-3" totalsRowLabel="[mAh]" queryTableFieldId="12" dataDxfId="1" totalsRowDxfId="0">
      <calculatedColumnFormula>($A$3/3600)*(F1/2+F2+F3/2)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2F1E-225A-42D4-913B-A9E8F440BB3E}">
  <dimension ref="A1:K89"/>
  <sheetViews>
    <sheetView topLeftCell="A70" workbookViewId="0">
      <selection activeCell="A89" sqref="A89"/>
    </sheetView>
  </sheetViews>
  <sheetFormatPr baseColWidth="10" defaultRowHeight="14.4" x14ac:dyDescent="0.3"/>
  <cols>
    <col min="1" max="1" width="7.88671875" style="1" customWidth="1"/>
    <col min="2" max="2" width="7.88671875" style="5" customWidth="1"/>
    <col min="3" max="3" width="9.77734375" style="3" customWidth="1"/>
    <col min="4" max="4" width="9" style="5" customWidth="1"/>
    <col min="5" max="5" width="9.6640625" style="5" customWidth="1"/>
    <col min="6" max="6" width="9" style="3" customWidth="1"/>
    <col min="7" max="7" width="10.5546875" style="5" customWidth="1"/>
    <col min="8" max="8" width="11.33203125" style="4" customWidth="1"/>
    <col min="9" max="9" width="14.33203125" style="5" customWidth="1"/>
    <col min="10" max="16384" width="11.5546875" style="5"/>
  </cols>
  <sheetData>
    <row r="1" spans="1:11" s="14" customFormat="1" ht="29.4" customHeight="1" x14ac:dyDescent="0.3">
      <c r="A1" s="10" t="s">
        <v>0</v>
      </c>
      <c r="B1" s="11" t="s">
        <v>1</v>
      </c>
      <c r="C1" s="12" t="s">
        <v>6</v>
      </c>
      <c r="D1" s="11" t="s">
        <v>2</v>
      </c>
      <c r="E1" s="11" t="s">
        <v>9</v>
      </c>
      <c r="F1" s="12" t="s">
        <v>7</v>
      </c>
      <c r="G1" s="11" t="s">
        <v>3</v>
      </c>
      <c r="H1" s="13" t="s">
        <v>8</v>
      </c>
      <c r="I1" s="14" t="s">
        <v>4</v>
      </c>
      <c r="J1" s="14" t="s">
        <v>12</v>
      </c>
      <c r="K1" s="14" t="s">
        <v>11</v>
      </c>
    </row>
    <row r="2" spans="1:11" x14ac:dyDescent="0.3">
      <c r="A2" s="1">
        <v>0</v>
      </c>
      <c r="B2" s="5">
        <v>1576</v>
      </c>
      <c r="C2" s="3">
        <f>_25[[#This Row],[Tension '[V']]]/1000</f>
        <v>1.5760000000000001</v>
      </c>
      <c r="D2" s="5">
        <v>0</v>
      </c>
      <c r="E2" s="15"/>
      <c r="F2" s="3">
        <f>_25[[#This Row],[Corriente '[mA']]]/1000</f>
        <v>0</v>
      </c>
      <c r="G2" s="5">
        <v>0</v>
      </c>
      <c r="H2" s="4">
        <f>_25[[#This Row],[Potencia '[mW']]]/100000</f>
        <v>0</v>
      </c>
      <c r="I2" s="5">
        <v>0</v>
      </c>
    </row>
    <row r="3" spans="1:11" x14ac:dyDescent="0.3">
      <c r="A3" s="1">
        <f>A2+10</f>
        <v>10</v>
      </c>
      <c r="B3" s="5">
        <v>1276</v>
      </c>
      <c r="C3" s="3">
        <f>_25[[#This Row],[Tension '[V']]]/1000</f>
        <v>1.276</v>
      </c>
      <c r="D3" s="5">
        <v>425487</v>
      </c>
      <c r="E3" s="15"/>
      <c r="F3" s="3">
        <f>_25[[#This Row],[Corriente '[mA']]]/1000</f>
        <v>425.48700000000002</v>
      </c>
      <c r="G3" s="5">
        <v>54248345</v>
      </c>
      <c r="H3" s="4">
        <f>_25[[#This Row],[Potencia '[mW']]]/100000</f>
        <v>542.48344999999995</v>
      </c>
      <c r="I3" s="5">
        <f>($A$3/3600)*1000</f>
        <v>2.7777777777777777</v>
      </c>
    </row>
    <row r="4" spans="1:11" x14ac:dyDescent="0.3">
      <c r="A4" s="1">
        <f t="shared" ref="A4:A67" si="0">A3+10</f>
        <v>20</v>
      </c>
      <c r="B4" s="5">
        <v>1259</v>
      </c>
      <c r="C4" s="3">
        <f>_25[[#This Row],[Tension '[V']]]/1000</f>
        <v>1.2589999999999999</v>
      </c>
      <c r="D4" s="5">
        <v>419812</v>
      </c>
      <c r="E4" s="15"/>
      <c r="F4" s="3">
        <f>_25[[#This Row],[Corriente '[mA']]]/1000</f>
        <v>419.81200000000001</v>
      </c>
      <c r="G4" s="5">
        <v>52810888</v>
      </c>
      <c r="H4" s="4">
        <f>_25[[#This Row],[Potencia '[mW']]]/100000</f>
        <v>528.10888</v>
      </c>
      <c r="I4" s="5">
        <v>0</v>
      </c>
    </row>
    <row r="5" spans="1:11" x14ac:dyDescent="0.3">
      <c r="A5" s="1">
        <f t="shared" si="0"/>
        <v>30</v>
      </c>
      <c r="B5" s="5">
        <v>1247</v>
      </c>
      <c r="C5" s="3">
        <f>_25[[#This Row],[Tension '[V']]]/1000</f>
        <v>1.2470000000000001</v>
      </c>
      <c r="D5" s="5">
        <v>416112</v>
      </c>
      <c r="E5" s="15"/>
      <c r="F5" s="3">
        <f>_25[[#This Row],[Corriente '[mA']]]/1000</f>
        <v>416.11200000000002</v>
      </c>
      <c r="G5" s="5">
        <v>51935913</v>
      </c>
      <c r="H5" s="4">
        <f>_25[[#This Row],[Potencia '[mW']]]/100000</f>
        <v>519.35913000000005</v>
      </c>
      <c r="I5" s="5">
        <v>0</v>
      </c>
    </row>
    <row r="6" spans="1:11" x14ac:dyDescent="0.3">
      <c r="A6" s="1">
        <f t="shared" si="0"/>
        <v>40</v>
      </c>
      <c r="B6" s="5">
        <v>1236</v>
      </c>
      <c r="C6" s="3">
        <f>_25[[#This Row],[Tension '[V']]]/1000</f>
        <v>1.236</v>
      </c>
      <c r="D6" s="5">
        <v>413187</v>
      </c>
      <c r="E6" s="15"/>
      <c r="F6" s="3">
        <f>_25[[#This Row],[Corriente '[mA']]]/1000</f>
        <v>413.18700000000001</v>
      </c>
      <c r="G6" s="5">
        <v>51060940</v>
      </c>
      <c r="H6" s="4">
        <f>_25[[#This Row],[Potencia '[mW']]]/100000</f>
        <v>510.60939999999999</v>
      </c>
      <c r="I6" s="5">
        <v>0</v>
      </c>
    </row>
    <row r="7" spans="1:11" x14ac:dyDescent="0.3">
      <c r="A7" s="1">
        <f t="shared" si="0"/>
        <v>50</v>
      </c>
      <c r="B7" s="5">
        <v>1229</v>
      </c>
      <c r="C7" s="3">
        <f>_25[[#This Row],[Tension '[V']]]/1000</f>
        <v>1.2290000000000001</v>
      </c>
      <c r="D7" s="5">
        <v>410912</v>
      </c>
      <c r="E7" s="15"/>
      <c r="F7" s="3">
        <f>_25[[#This Row],[Corriente '[mA']]]/1000</f>
        <v>410.91199999999998</v>
      </c>
      <c r="G7" s="5">
        <v>50498458</v>
      </c>
      <c r="H7" s="4">
        <f>_25[[#This Row],[Potencia '[mW']]]/100000</f>
        <v>504.98457999999999</v>
      </c>
      <c r="I7" s="5">
        <v>0</v>
      </c>
    </row>
    <row r="8" spans="1:11" x14ac:dyDescent="0.3">
      <c r="A8" s="1">
        <f t="shared" si="0"/>
        <v>60</v>
      </c>
      <c r="B8" s="5">
        <v>1227</v>
      </c>
      <c r="C8" s="3">
        <f>_25[[#This Row],[Tension '[V']]]/1000</f>
        <v>1.2270000000000001</v>
      </c>
      <c r="D8" s="5">
        <v>409312</v>
      </c>
      <c r="E8" s="15"/>
      <c r="F8" s="3">
        <f>_25[[#This Row],[Corriente '[mA']]]/1000</f>
        <v>409.31200000000001</v>
      </c>
      <c r="G8" s="5">
        <v>50248468</v>
      </c>
      <c r="H8" s="4">
        <f>_25[[#This Row],[Potencia '[mW']]]/100000</f>
        <v>502.48468000000003</v>
      </c>
      <c r="I8" s="5">
        <v>0</v>
      </c>
    </row>
    <row r="9" spans="1:11" x14ac:dyDescent="0.3">
      <c r="A9" s="1">
        <f t="shared" si="0"/>
        <v>70</v>
      </c>
      <c r="B9" s="5">
        <v>1221</v>
      </c>
      <c r="C9" s="3">
        <f>_25[[#This Row],[Tension '[V']]]/1000</f>
        <v>1.2210000000000001</v>
      </c>
      <c r="D9" s="5">
        <v>407513</v>
      </c>
      <c r="E9" s="15"/>
      <c r="F9" s="3">
        <f>_25[[#This Row],[Corriente '[mA']]]/1000</f>
        <v>407.51299999999998</v>
      </c>
      <c r="G9" s="5">
        <v>49748480</v>
      </c>
      <c r="H9" s="4">
        <f>_25[[#This Row],[Potencia '[mW']]]/100000</f>
        <v>497.48480000000001</v>
      </c>
      <c r="I9" s="5">
        <v>0</v>
      </c>
    </row>
    <row r="10" spans="1:11" x14ac:dyDescent="0.3">
      <c r="A10" s="1">
        <f t="shared" si="0"/>
        <v>80</v>
      </c>
      <c r="B10" s="5">
        <v>1217</v>
      </c>
      <c r="C10" s="3">
        <f>_25[[#This Row],[Tension '[V']]]/1000</f>
        <v>1.2170000000000001</v>
      </c>
      <c r="D10" s="5">
        <v>405963</v>
      </c>
      <c r="E10" s="15"/>
      <c r="F10" s="3">
        <f>_25[[#This Row],[Corriente '[mA']]]/1000</f>
        <v>405.96300000000002</v>
      </c>
      <c r="G10" s="5">
        <v>49435992</v>
      </c>
      <c r="H10" s="4">
        <f>_25[[#This Row],[Potencia '[mW']]]/100000</f>
        <v>494.35991999999999</v>
      </c>
      <c r="I10" s="5">
        <v>0</v>
      </c>
    </row>
    <row r="11" spans="1:11" x14ac:dyDescent="0.3">
      <c r="A11" s="1">
        <f t="shared" si="0"/>
        <v>90</v>
      </c>
      <c r="B11" s="5">
        <v>1212</v>
      </c>
      <c r="C11" s="3">
        <f>_25[[#This Row],[Tension '[V']]]/1000</f>
        <v>1.212</v>
      </c>
      <c r="D11" s="5">
        <v>404463</v>
      </c>
      <c r="E11" s="15"/>
      <c r="F11" s="3">
        <f>_25[[#This Row],[Corriente '[mA']]]/1000</f>
        <v>404.46300000000002</v>
      </c>
      <c r="G11" s="5">
        <v>49061001</v>
      </c>
      <c r="H11" s="4">
        <f>_25[[#This Row],[Potencia '[mW']]]/100000</f>
        <v>490.61000999999999</v>
      </c>
      <c r="I11" s="5">
        <v>0</v>
      </c>
    </row>
    <row r="12" spans="1:11" x14ac:dyDescent="0.3">
      <c r="A12" s="1">
        <f t="shared" si="0"/>
        <v>100</v>
      </c>
      <c r="B12" s="5">
        <v>1209</v>
      </c>
      <c r="C12" s="3">
        <f>_25[[#This Row],[Tension '[V']]]/1000</f>
        <v>1.2090000000000001</v>
      </c>
      <c r="D12" s="5">
        <v>403113</v>
      </c>
      <c r="E12" s="15"/>
      <c r="F12" s="3">
        <f>_25[[#This Row],[Corriente '[mA']]]/1000</f>
        <v>403.113</v>
      </c>
      <c r="G12" s="5">
        <v>48748510</v>
      </c>
      <c r="H12" s="4">
        <f>_25[[#This Row],[Potencia '[mW']]]/100000</f>
        <v>487.48509999999999</v>
      </c>
      <c r="I12" s="5">
        <v>0</v>
      </c>
    </row>
    <row r="13" spans="1:11" x14ac:dyDescent="0.3">
      <c r="A13" s="1">
        <f t="shared" si="0"/>
        <v>110</v>
      </c>
      <c r="B13" s="5">
        <v>1204</v>
      </c>
      <c r="C13" s="3">
        <f>_25[[#This Row],[Tension '[V']]]/1000</f>
        <v>1.204</v>
      </c>
      <c r="D13" s="5">
        <v>401788</v>
      </c>
      <c r="E13" s="15"/>
      <c r="F13" s="3">
        <f>_25[[#This Row],[Corriente '[mA']]]/1000</f>
        <v>401.78800000000001</v>
      </c>
      <c r="G13" s="5">
        <v>48311026</v>
      </c>
      <c r="H13" s="4">
        <f>_25[[#This Row],[Potencia '[mW']]]/100000</f>
        <v>483.11025999999998</v>
      </c>
      <c r="I13" s="5">
        <v>0</v>
      </c>
    </row>
    <row r="14" spans="1:11" x14ac:dyDescent="0.3">
      <c r="A14" s="1">
        <f t="shared" si="0"/>
        <v>120</v>
      </c>
      <c r="B14" s="5">
        <v>1200</v>
      </c>
      <c r="C14" s="3">
        <f>_25[[#This Row],[Tension '[V']]]/1000</f>
        <v>1.2</v>
      </c>
      <c r="D14" s="5">
        <v>400563</v>
      </c>
      <c r="E14" s="15"/>
      <c r="F14" s="3">
        <f>_25[[#This Row],[Corriente '[mA']]]/1000</f>
        <v>400.56299999999999</v>
      </c>
      <c r="G14" s="5">
        <v>47998535</v>
      </c>
      <c r="H14" s="4">
        <f>_25[[#This Row],[Potencia '[mW']]]/100000</f>
        <v>479.98534999999998</v>
      </c>
      <c r="I14" s="5">
        <v>0</v>
      </c>
    </row>
    <row r="15" spans="1:11" x14ac:dyDescent="0.3">
      <c r="A15" s="1">
        <f t="shared" si="0"/>
        <v>130</v>
      </c>
      <c r="B15" s="5">
        <v>1197</v>
      </c>
      <c r="C15" s="3">
        <f>_25[[#This Row],[Tension '[V']]]/1000</f>
        <v>1.1970000000000001</v>
      </c>
      <c r="D15" s="5">
        <v>399388</v>
      </c>
      <c r="E15" s="15"/>
      <c r="F15" s="3">
        <f>_25[[#This Row],[Corriente '[mA']]]/1000</f>
        <v>399.38799999999998</v>
      </c>
      <c r="G15" s="5">
        <v>47811041</v>
      </c>
      <c r="H15" s="4">
        <f>_25[[#This Row],[Potencia '[mW']]]/100000</f>
        <v>478.11041</v>
      </c>
      <c r="I15" s="5">
        <v>0</v>
      </c>
    </row>
    <row r="16" spans="1:11" x14ac:dyDescent="0.3">
      <c r="A16" s="1">
        <f t="shared" si="0"/>
        <v>140</v>
      </c>
      <c r="B16" s="5">
        <v>1194</v>
      </c>
      <c r="C16" s="3">
        <f>_25[[#This Row],[Tension '[V']]]/1000</f>
        <v>1.194</v>
      </c>
      <c r="D16" s="5">
        <v>398263</v>
      </c>
      <c r="E16" s="15"/>
      <c r="F16" s="3">
        <f>_25[[#This Row],[Corriente '[mA']]]/1000</f>
        <v>398.26299999999998</v>
      </c>
      <c r="G16" s="5">
        <v>47498550</v>
      </c>
      <c r="H16" s="4">
        <f>_25[[#This Row],[Potencia '[mW']]]/100000</f>
        <v>474.9855</v>
      </c>
      <c r="I16" s="5">
        <v>0</v>
      </c>
    </row>
    <row r="17" spans="1:9" x14ac:dyDescent="0.3">
      <c r="A17" s="1">
        <f t="shared" si="0"/>
        <v>150</v>
      </c>
      <c r="B17" s="5">
        <v>1190</v>
      </c>
      <c r="C17" s="3">
        <f>_25[[#This Row],[Tension '[V']]]/1000</f>
        <v>1.19</v>
      </c>
      <c r="D17" s="5">
        <v>397263</v>
      </c>
      <c r="E17" s="15"/>
      <c r="F17" s="3">
        <f>_25[[#This Row],[Corriente '[mA']]]/1000</f>
        <v>397.26299999999998</v>
      </c>
      <c r="G17" s="5">
        <v>47311056</v>
      </c>
      <c r="H17" s="4">
        <f>_25[[#This Row],[Potencia '[mW']]]/100000</f>
        <v>473.11056000000002</v>
      </c>
      <c r="I17" s="5">
        <v>0</v>
      </c>
    </row>
    <row r="18" spans="1:9" x14ac:dyDescent="0.3">
      <c r="A18" s="1">
        <f t="shared" si="0"/>
        <v>160</v>
      </c>
      <c r="B18" s="5">
        <v>1187</v>
      </c>
      <c r="C18" s="3">
        <f>_25[[#This Row],[Tension '[V']]]/1000</f>
        <v>1.1870000000000001</v>
      </c>
      <c r="D18" s="5">
        <v>396213</v>
      </c>
      <c r="E18" s="15"/>
      <c r="F18" s="3">
        <f>_25[[#This Row],[Corriente '[mA']]]/1000</f>
        <v>396.21300000000002</v>
      </c>
      <c r="G18" s="5">
        <v>46998565</v>
      </c>
      <c r="H18" s="4">
        <f>_25[[#This Row],[Potencia '[mW']]]/100000</f>
        <v>469.98565000000002</v>
      </c>
      <c r="I18" s="5">
        <v>0</v>
      </c>
    </row>
    <row r="19" spans="1:9" x14ac:dyDescent="0.3">
      <c r="A19" s="1">
        <f t="shared" si="0"/>
        <v>170</v>
      </c>
      <c r="B19" s="5">
        <v>1184</v>
      </c>
      <c r="C19" s="3">
        <f>_25[[#This Row],[Tension '[V']]]/1000</f>
        <v>1.1839999999999999</v>
      </c>
      <c r="D19" s="5">
        <v>395213</v>
      </c>
      <c r="E19" s="16">
        <f t="shared" ref="E19" si="1">(C21-C20)/(F18/1000)</f>
        <v>3.0286739708187287E-2</v>
      </c>
      <c r="F19" s="3">
        <f>_25[[#This Row],[Corriente '[mA']]]/1000</f>
        <v>395.21300000000002</v>
      </c>
      <c r="G19" s="5">
        <v>46811071</v>
      </c>
      <c r="H19" s="4">
        <f>_25[[#This Row],[Potencia '[mW']]]/100000</f>
        <v>468.11070999999998</v>
      </c>
      <c r="I19" s="5">
        <v>1</v>
      </c>
    </row>
    <row r="20" spans="1:9" x14ac:dyDescent="0.3">
      <c r="A20" s="1">
        <f t="shared" si="0"/>
        <v>180</v>
      </c>
      <c r="B20" s="5">
        <v>1442</v>
      </c>
      <c r="C20" s="3">
        <f>_25[[#This Row],[Tension '[V']]]/1000</f>
        <v>1.4419999999999999</v>
      </c>
      <c r="D20" s="5">
        <v>0</v>
      </c>
      <c r="E20" s="15"/>
      <c r="F20" s="3">
        <f>_25[[#This Row],[Corriente '[mA']]]/1000</f>
        <v>0</v>
      </c>
      <c r="G20" s="5">
        <v>0</v>
      </c>
      <c r="H20" s="4">
        <f>_25[[#This Row],[Potencia '[mW']]]/100000</f>
        <v>0</v>
      </c>
      <c r="I20" s="5">
        <v>1</v>
      </c>
    </row>
    <row r="21" spans="1:9" x14ac:dyDescent="0.3">
      <c r="A21" s="1">
        <f t="shared" si="0"/>
        <v>190</v>
      </c>
      <c r="B21" s="5">
        <v>1454</v>
      </c>
      <c r="C21" s="3">
        <f>_25[[#This Row],[Tension '[V']]]/1000</f>
        <v>1.454</v>
      </c>
      <c r="D21" s="5">
        <v>0</v>
      </c>
      <c r="E21" s="15"/>
      <c r="F21" s="3">
        <f>_25[[#This Row],[Corriente '[mA']]]/1000</f>
        <v>0</v>
      </c>
      <c r="G21" s="5">
        <v>0</v>
      </c>
      <c r="H21" s="4">
        <f>_25[[#This Row],[Potencia '[mW']]]/100000</f>
        <v>0</v>
      </c>
      <c r="I21" s="5">
        <v>1</v>
      </c>
    </row>
    <row r="22" spans="1:9" x14ac:dyDescent="0.3">
      <c r="A22" s="1">
        <f t="shared" si="0"/>
        <v>200</v>
      </c>
      <c r="B22" s="5">
        <v>1460</v>
      </c>
      <c r="C22" s="3">
        <f>_25[[#This Row],[Tension '[V']]]/1000</f>
        <v>1.46</v>
      </c>
      <c r="D22" s="5">
        <v>0</v>
      </c>
      <c r="E22" s="15"/>
      <c r="F22" s="3">
        <f>_25[[#This Row],[Corriente '[mA']]]/1000</f>
        <v>0</v>
      </c>
      <c r="G22" s="5">
        <v>0</v>
      </c>
      <c r="H22" s="4">
        <f>_25[[#This Row],[Potencia '[mW']]]/100000</f>
        <v>0</v>
      </c>
      <c r="I22" s="5">
        <v>1</v>
      </c>
    </row>
    <row r="23" spans="1:9" x14ac:dyDescent="0.3">
      <c r="A23" s="1">
        <f t="shared" si="0"/>
        <v>210</v>
      </c>
      <c r="B23" s="5">
        <v>1465</v>
      </c>
      <c r="C23" s="3">
        <f>_25[[#This Row],[Tension '[V']]]/1000</f>
        <v>1.4650000000000001</v>
      </c>
      <c r="D23" s="5">
        <v>0</v>
      </c>
      <c r="E23" s="15"/>
      <c r="F23" s="3">
        <f>_25[[#This Row],[Corriente '[mA']]]/1000</f>
        <v>0</v>
      </c>
      <c r="G23" s="5">
        <v>0</v>
      </c>
      <c r="H23" s="4">
        <f>_25[[#This Row],[Potencia '[mW']]]/100000</f>
        <v>0</v>
      </c>
      <c r="I23" s="5">
        <v>1</v>
      </c>
    </row>
    <row r="24" spans="1:9" x14ac:dyDescent="0.3">
      <c r="A24" s="1">
        <f t="shared" si="0"/>
        <v>220</v>
      </c>
      <c r="B24" s="5">
        <v>1470</v>
      </c>
      <c r="C24" s="3">
        <f>_25[[#This Row],[Tension '[V']]]/1000</f>
        <v>1.47</v>
      </c>
      <c r="D24" s="5">
        <v>0</v>
      </c>
      <c r="E24" s="15"/>
      <c r="F24" s="3">
        <f>_25[[#This Row],[Corriente '[mA']]]/1000</f>
        <v>0</v>
      </c>
      <c r="G24" s="5">
        <v>0</v>
      </c>
      <c r="H24" s="4">
        <f>_25[[#This Row],[Potencia '[mW']]]/100000</f>
        <v>0</v>
      </c>
      <c r="I24" s="5">
        <v>1</v>
      </c>
    </row>
    <row r="25" spans="1:9" x14ac:dyDescent="0.3">
      <c r="A25" s="1">
        <f t="shared" si="0"/>
        <v>230</v>
      </c>
      <c r="B25" s="5">
        <v>1474</v>
      </c>
      <c r="C25" s="3">
        <f>_25[[#This Row],[Tension '[V']]]/1000</f>
        <v>1.474</v>
      </c>
      <c r="D25" s="5">
        <v>0</v>
      </c>
      <c r="E25" s="15"/>
      <c r="F25" s="3">
        <f>_25[[#This Row],[Corriente '[mA']]]/1000</f>
        <v>0</v>
      </c>
      <c r="G25" s="5">
        <v>0</v>
      </c>
      <c r="H25" s="4">
        <f>_25[[#This Row],[Potencia '[mW']]]/100000</f>
        <v>0</v>
      </c>
      <c r="I25" s="5">
        <v>0</v>
      </c>
    </row>
    <row r="26" spans="1:9" x14ac:dyDescent="0.3">
      <c r="A26" s="1">
        <f t="shared" si="0"/>
        <v>240</v>
      </c>
      <c r="B26" s="5">
        <v>1206</v>
      </c>
      <c r="C26" s="3">
        <f>_25[[#This Row],[Tension '[V']]]/1000</f>
        <v>1.206</v>
      </c>
      <c r="D26" s="5">
        <v>402263</v>
      </c>
      <c r="E26" s="16">
        <f>(C25-C26)/(F26/1000)</f>
        <v>0.66623079925322493</v>
      </c>
      <c r="F26" s="3">
        <f>_25[[#This Row],[Corriente '[mA']]]/1000</f>
        <v>402.26299999999998</v>
      </c>
      <c r="G26" s="5">
        <v>48561016</v>
      </c>
      <c r="H26" s="4">
        <f>_25[[#This Row],[Potencia '[mW']]]/100000</f>
        <v>485.61016000000001</v>
      </c>
      <c r="I26" s="5">
        <v>0</v>
      </c>
    </row>
    <row r="27" spans="1:9" x14ac:dyDescent="0.3">
      <c r="A27" s="1">
        <f t="shared" si="0"/>
        <v>250</v>
      </c>
      <c r="B27" s="5">
        <v>1196</v>
      </c>
      <c r="C27" s="3">
        <f>_25[[#This Row],[Tension '[V']]]/1000</f>
        <v>1.196</v>
      </c>
      <c r="D27" s="5">
        <v>398913</v>
      </c>
      <c r="E27" s="15"/>
      <c r="F27" s="3">
        <f>_25[[#This Row],[Corriente '[mA']]]/1000</f>
        <v>398.91300000000001</v>
      </c>
      <c r="G27" s="5">
        <v>47748541</v>
      </c>
      <c r="H27" s="4">
        <f>_25[[#This Row],[Potencia '[mW']]]/100000</f>
        <v>477.48541</v>
      </c>
      <c r="I27" s="5">
        <v>0</v>
      </c>
    </row>
    <row r="28" spans="1:9" x14ac:dyDescent="0.3">
      <c r="A28" s="1">
        <f t="shared" si="0"/>
        <v>260</v>
      </c>
      <c r="B28" s="5">
        <v>1189</v>
      </c>
      <c r="C28" s="3">
        <f>_25[[#This Row],[Tension '[V']]]/1000</f>
        <v>1.1890000000000001</v>
      </c>
      <c r="D28" s="5">
        <v>396638</v>
      </c>
      <c r="E28" s="15"/>
      <c r="F28" s="3">
        <f>_25[[#This Row],[Corriente '[mA']]]/1000</f>
        <v>396.63799999999998</v>
      </c>
      <c r="G28" s="5">
        <v>47123562</v>
      </c>
      <c r="H28" s="4">
        <f>_25[[#This Row],[Potencia '[mW']]]/100000</f>
        <v>471.23561999999998</v>
      </c>
      <c r="I28" s="5">
        <v>0</v>
      </c>
    </row>
    <row r="29" spans="1:9" x14ac:dyDescent="0.3">
      <c r="A29" s="1">
        <f t="shared" si="0"/>
        <v>270</v>
      </c>
      <c r="B29" s="5">
        <v>1184</v>
      </c>
      <c r="C29" s="3">
        <f>_25[[#This Row],[Tension '[V']]]/1000</f>
        <v>1.1839999999999999</v>
      </c>
      <c r="D29" s="5">
        <v>394888</v>
      </c>
      <c r="E29" s="15"/>
      <c r="F29" s="3">
        <f>_25[[#This Row],[Corriente '[mA']]]/1000</f>
        <v>394.88799999999998</v>
      </c>
      <c r="G29" s="5">
        <v>46686074</v>
      </c>
      <c r="H29" s="4">
        <f>_25[[#This Row],[Potencia '[mW']]]/100000</f>
        <v>466.86074000000002</v>
      </c>
      <c r="I29" s="5">
        <v>0</v>
      </c>
    </row>
    <row r="30" spans="1:9" x14ac:dyDescent="0.3">
      <c r="A30" s="1">
        <f t="shared" si="0"/>
        <v>280</v>
      </c>
      <c r="B30" s="5">
        <v>1179</v>
      </c>
      <c r="C30" s="3">
        <f>_25[[#This Row],[Tension '[V']]]/1000</f>
        <v>1.179</v>
      </c>
      <c r="D30" s="5">
        <v>393438</v>
      </c>
      <c r="E30" s="15"/>
      <c r="F30" s="3">
        <f>_25[[#This Row],[Corriente '[mA']]]/1000</f>
        <v>393.43799999999999</v>
      </c>
      <c r="G30" s="5">
        <v>46373583</v>
      </c>
      <c r="H30" s="4">
        <f>_25[[#This Row],[Potencia '[mW']]]/100000</f>
        <v>463.73583000000002</v>
      </c>
      <c r="I30" s="5">
        <v>0</v>
      </c>
    </row>
    <row r="31" spans="1:9" x14ac:dyDescent="0.3">
      <c r="A31" s="1">
        <f t="shared" si="0"/>
        <v>290</v>
      </c>
      <c r="B31" s="5">
        <v>1175</v>
      </c>
      <c r="C31" s="3">
        <f>_25[[#This Row],[Tension '[V']]]/1000</f>
        <v>1.175</v>
      </c>
      <c r="D31" s="5">
        <v>392113</v>
      </c>
      <c r="E31" s="15"/>
      <c r="F31" s="3">
        <f>_25[[#This Row],[Corriente '[mA']]]/1000</f>
        <v>392.113</v>
      </c>
      <c r="G31" s="5">
        <v>46061093</v>
      </c>
      <c r="H31" s="4">
        <f>_25[[#This Row],[Potencia '[mW']]]/100000</f>
        <v>460.61093</v>
      </c>
      <c r="I31" s="5">
        <v>0</v>
      </c>
    </row>
    <row r="32" spans="1:9" x14ac:dyDescent="0.3">
      <c r="A32" s="1">
        <f t="shared" si="0"/>
        <v>300</v>
      </c>
      <c r="B32" s="5">
        <v>1172</v>
      </c>
      <c r="C32" s="3">
        <f>_25[[#This Row],[Tension '[V']]]/1000</f>
        <v>1.1719999999999999</v>
      </c>
      <c r="D32" s="5">
        <v>390988</v>
      </c>
      <c r="E32" s="15"/>
      <c r="F32" s="3">
        <f>_25[[#This Row],[Corriente '[mA']]]/1000</f>
        <v>390.988</v>
      </c>
      <c r="G32" s="5">
        <v>45811102</v>
      </c>
      <c r="H32" s="4">
        <f>_25[[#This Row],[Potencia '[mW']]]/100000</f>
        <v>458.11102</v>
      </c>
      <c r="I32" s="5">
        <v>0</v>
      </c>
    </row>
    <row r="33" spans="1:9" x14ac:dyDescent="0.3">
      <c r="A33" s="1">
        <f t="shared" si="0"/>
        <v>310</v>
      </c>
      <c r="B33" s="5">
        <v>1169</v>
      </c>
      <c r="C33" s="3">
        <f>_25[[#This Row],[Tension '[V']]]/1000</f>
        <v>1.169</v>
      </c>
      <c r="D33" s="5">
        <v>389888</v>
      </c>
      <c r="E33" s="15"/>
      <c r="F33" s="3">
        <f>_25[[#This Row],[Corriente '[mA']]]/1000</f>
        <v>389.88799999999998</v>
      </c>
      <c r="G33" s="5">
        <v>45561108</v>
      </c>
      <c r="H33" s="4">
        <f>_25[[#This Row],[Potencia '[mW']]]/100000</f>
        <v>455.61108000000002</v>
      </c>
      <c r="I33" s="5">
        <v>0</v>
      </c>
    </row>
    <row r="34" spans="1:9" x14ac:dyDescent="0.3">
      <c r="A34" s="1">
        <f t="shared" si="0"/>
        <v>320</v>
      </c>
      <c r="B34" s="5">
        <v>1166</v>
      </c>
      <c r="C34" s="3">
        <f>_25[[#This Row],[Tension '[V']]]/1000</f>
        <v>1.1659999999999999</v>
      </c>
      <c r="D34" s="5">
        <v>388913</v>
      </c>
      <c r="E34" s="15"/>
      <c r="F34" s="3">
        <f>_25[[#This Row],[Corriente '[mA']]]/1000</f>
        <v>388.91300000000001</v>
      </c>
      <c r="G34" s="5">
        <v>45311117</v>
      </c>
      <c r="H34" s="4">
        <f>_25[[#This Row],[Potencia '[mW']]]/100000</f>
        <v>453.11117000000002</v>
      </c>
      <c r="I34" s="5">
        <v>0</v>
      </c>
    </row>
    <row r="35" spans="1:9" x14ac:dyDescent="0.3">
      <c r="A35" s="1">
        <f t="shared" si="0"/>
        <v>330</v>
      </c>
      <c r="B35" s="5">
        <v>1162</v>
      </c>
      <c r="C35" s="3">
        <f>_25[[#This Row],[Tension '[V']]]/1000</f>
        <v>1.1619999999999999</v>
      </c>
      <c r="D35" s="5">
        <v>388013</v>
      </c>
      <c r="E35" s="15"/>
      <c r="F35" s="3">
        <f>_25[[#This Row],[Corriente '[mA']]]/1000</f>
        <v>388.01299999999998</v>
      </c>
      <c r="G35" s="5">
        <v>45061123</v>
      </c>
      <c r="H35" s="4">
        <f>_25[[#This Row],[Potencia '[mW']]]/100000</f>
        <v>450.61122999999998</v>
      </c>
      <c r="I35" s="5">
        <v>0</v>
      </c>
    </row>
    <row r="36" spans="1:9" x14ac:dyDescent="0.3">
      <c r="A36" s="1">
        <f t="shared" si="0"/>
        <v>340</v>
      </c>
      <c r="B36" s="5">
        <v>1160</v>
      </c>
      <c r="C36" s="3">
        <f>_25[[#This Row],[Tension '[V']]]/1000</f>
        <v>1.1599999999999999</v>
      </c>
      <c r="D36" s="5">
        <v>387138</v>
      </c>
      <c r="E36" s="15"/>
      <c r="F36" s="3">
        <f>_25[[#This Row],[Corriente '[mA']]]/1000</f>
        <v>387.13799999999998</v>
      </c>
      <c r="G36" s="5">
        <v>44936129</v>
      </c>
      <c r="H36" s="4">
        <f>_25[[#This Row],[Potencia '[mW']]]/100000</f>
        <v>449.36129</v>
      </c>
      <c r="I36" s="5">
        <v>0</v>
      </c>
    </row>
    <row r="37" spans="1:9" x14ac:dyDescent="0.3">
      <c r="A37" s="1">
        <f t="shared" si="0"/>
        <v>350</v>
      </c>
      <c r="B37" s="5">
        <v>1157</v>
      </c>
      <c r="C37" s="3">
        <f>_25[[#This Row],[Tension '[V']]]/1000</f>
        <v>1.157</v>
      </c>
      <c r="D37" s="5">
        <v>386288</v>
      </c>
      <c r="E37" s="15"/>
      <c r="F37" s="3">
        <f>_25[[#This Row],[Corriente '[mA']]]/1000</f>
        <v>386.28800000000001</v>
      </c>
      <c r="G37" s="5">
        <v>44748632</v>
      </c>
      <c r="H37" s="4">
        <f>_25[[#This Row],[Potencia '[mW']]]/100000</f>
        <v>447.48631999999998</v>
      </c>
      <c r="I37" s="5">
        <v>0</v>
      </c>
    </row>
    <row r="38" spans="1:9" x14ac:dyDescent="0.3">
      <c r="A38" s="1">
        <f t="shared" si="0"/>
        <v>360</v>
      </c>
      <c r="B38" s="5">
        <v>1155</v>
      </c>
      <c r="C38" s="3">
        <f>_25[[#This Row],[Tension '[V']]]/1000</f>
        <v>1.155</v>
      </c>
      <c r="D38" s="5">
        <v>385488</v>
      </c>
      <c r="E38" s="15"/>
      <c r="F38" s="3">
        <f>_25[[#This Row],[Corriente '[mA']]]/1000</f>
        <v>385.488</v>
      </c>
      <c r="G38" s="5">
        <v>44561138</v>
      </c>
      <c r="H38" s="4">
        <f>_25[[#This Row],[Potencia '[mW']]]/100000</f>
        <v>445.61138</v>
      </c>
      <c r="I38" s="5">
        <v>0</v>
      </c>
    </row>
    <row r="39" spans="1:9" x14ac:dyDescent="0.3">
      <c r="A39" s="1">
        <f t="shared" si="0"/>
        <v>370</v>
      </c>
      <c r="B39" s="5">
        <v>1154</v>
      </c>
      <c r="C39" s="3">
        <f>_25[[#This Row],[Tension '[V']]]/1000</f>
        <v>1.1539999999999999</v>
      </c>
      <c r="D39" s="5">
        <v>384663</v>
      </c>
      <c r="E39" s="15"/>
      <c r="F39" s="3">
        <f>_25[[#This Row],[Corriente '[mA']]]/1000</f>
        <v>384.66300000000001</v>
      </c>
      <c r="G39" s="5">
        <v>44311148</v>
      </c>
      <c r="H39" s="4">
        <f>_25[[#This Row],[Potencia '[mW']]]/100000</f>
        <v>443.11147999999997</v>
      </c>
      <c r="I39" s="5">
        <v>0</v>
      </c>
    </row>
    <row r="40" spans="1:9" x14ac:dyDescent="0.3">
      <c r="A40" s="1">
        <f t="shared" si="0"/>
        <v>380</v>
      </c>
      <c r="B40" s="5">
        <v>1147</v>
      </c>
      <c r="C40" s="3">
        <f>_25[[#This Row],[Tension '[V']]]/1000</f>
        <v>1.147</v>
      </c>
      <c r="D40" s="5">
        <v>383913</v>
      </c>
      <c r="E40" s="15"/>
      <c r="F40" s="3">
        <f>_25[[#This Row],[Corriente '[mA']]]/1000</f>
        <v>383.91300000000001</v>
      </c>
      <c r="G40" s="5">
        <v>44061154</v>
      </c>
      <c r="H40" s="4">
        <f>_25[[#This Row],[Potencia '[mW']]]/100000</f>
        <v>440.61153999999999</v>
      </c>
      <c r="I40" s="5">
        <v>0</v>
      </c>
    </row>
    <row r="41" spans="1:9" x14ac:dyDescent="0.3">
      <c r="A41" s="1">
        <f t="shared" si="0"/>
        <v>390</v>
      </c>
      <c r="B41" s="5">
        <v>1146</v>
      </c>
      <c r="C41" s="3">
        <f>_25[[#This Row],[Tension '[V']]]/1000</f>
        <v>1.1459999999999999</v>
      </c>
      <c r="D41" s="5">
        <v>383163</v>
      </c>
      <c r="E41" s="15"/>
      <c r="F41" s="3">
        <f>_25[[#This Row],[Corriente '[mA']]]/1000</f>
        <v>383.16300000000001</v>
      </c>
      <c r="G41" s="5">
        <v>43936160</v>
      </c>
      <c r="H41" s="4">
        <f>_25[[#This Row],[Potencia '[mW']]]/100000</f>
        <v>439.36160000000001</v>
      </c>
      <c r="I41" s="5">
        <v>0</v>
      </c>
    </row>
    <row r="42" spans="1:9" x14ac:dyDescent="0.3">
      <c r="A42" s="1">
        <f t="shared" si="0"/>
        <v>400</v>
      </c>
      <c r="B42" s="5">
        <v>1144</v>
      </c>
      <c r="C42" s="3">
        <f>_25[[#This Row],[Tension '[V']]]/1000</f>
        <v>1.1439999999999999</v>
      </c>
      <c r="D42" s="5">
        <v>382513</v>
      </c>
      <c r="E42" s="15"/>
      <c r="F42" s="3">
        <f>_25[[#This Row],[Corriente '[mA']]]/1000</f>
        <v>382.51299999999998</v>
      </c>
      <c r="G42" s="5">
        <v>43748663</v>
      </c>
      <c r="H42" s="4">
        <f>_25[[#This Row],[Potencia '[mW']]]/100000</f>
        <v>437.48662999999999</v>
      </c>
      <c r="I42" s="5">
        <v>0</v>
      </c>
    </row>
    <row r="43" spans="1:9" x14ac:dyDescent="0.3">
      <c r="A43" s="1">
        <f t="shared" si="0"/>
        <v>410</v>
      </c>
      <c r="B43" s="5">
        <v>1141</v>
      </c>
      <c r="C43" s="3">
        <f>_25[[#This Row],[Tension '[V']]]/1000</f>
        <v>1.141</v>
      </c>
      <c r="D43" s="5">
        <v>381963</v>
      </c>
      <c r="E43" s="16">
        <f>(C44-C43)/(F43/1000)</f>
        <v>0.68069420336524744</v>
      </c>
      <c r="F43" s="3">
        <f>_25[[#This Row],[Corriente '[mA']]]/1000</f>
        <v>381.96300000000002</v>
      </c>
      <c r="G43" s="5">
        <v>43623669</v>
      </c>
      <c r="H43" s="4">
        <f>_25[[#This Row],[Potencia '[mW']]]/100000</f>
        <v>436.23669000000001</v>
      </c>
      <c r="I43" s="5">
        <v>1</v>
      </c>
    </row>
    <row r="44" spans="1:9" x14ac:dyDescent="0.3">
      <c r="A44" s="1">
        <f t="shared" si="0"/>
        <v>420</v>
      </c>
      <c r="B44" s="5">
        <v>1401</v>
      </c>
      <c r="C44" s="3">
        <f>_25[[#This Row],[Tension '[V']]]/1000</f>
        <v>1.401</v>
      </c>
      <c r="D44" s="5">
        <v>0</v>
      </c>
      <c r="E44" s="15"/>
      <c r="F44" s="3">
        <f>_25[[#This Row],[Corriente '[mA']]]/1000</f>
        <v>0</v>
      </c>
      <c r="G44" s="5">
        <v>0</v>
      </c>
      <c r="H44" s="4">
        <f>_25[[#This Row],[Potencia '[mW']]]/100000</f>
        <v>0</v>
      </c>
      <c r="I44" s="5">
        <v>1</v>
      </c>
    </row>
    <row r="45" spans="1:9" x14ac:dyDescent="0.3">
      <c r="A45" s="1">
        <f t="shared" si="0"/>
        <v>430</v>
      </c>
      <c r="B45" s="5">
        <v>1411</v>
      </c>
      <c r="C45" s="3">
        <f>_25[[#This Row],[Tension '[V']]]/1000</f>
        <v>1.411</v>
      </c>
      <c r="D45" s="5">
        <v>0</v>
      </c>
      <c r="E45" s="15"/>
      <c r="F45" s="3">
        <f>_25[[#This Row],[Corriente '[mA']]]/1000</f>
        <v>0</v>
      </c>
      <c r="G45" s="5">
        <v>0</v>
      </c>
      <c r="H45" s="4">
        <f>_25[[#This Row],[Potencia '[mW']]]/100000</f>
        <v>0</v>
      </c>
      <c r="I45" s="5">
        <v>1</v>
      </c>
    </row>
    <row r="46" spans="1:9" x14ac:dyDescent="0.3">
      <c r="A46" s="1">
        <f t="shared" si="0"/>
        <v>440</v>
      </c>
      <c r="B46" s="5">
        <v>1419</v>
      </c>
      <c r="C46" s="3">
        <f>_25[[#This Row],[Tension '[V']]]/1000</f>
        <v>1.419</v>
      </c>
      <c r="D46" s="5">
        <v>0</v>
      </c>
      <c r="E46" s="15"/>
      <c r="F46" s="3">
        <f>_25[[#This Row],[Corriente '[mA']]]/1000</f>
        <v>0</v>
      </c>
      <c r="G46" s="5">
        <v>0</v>
      </c>
      <c r="H46" s="4">
        <f>_25[[#This Row],[Potencia '[mW']]]/100000</f>
        <v>0</v>
      </c>
      <c r="I46" s="5">
        <v>1</v>
      </c>
    </row>
    <row r="47" spans="1:9" x14ac:dyDescent="0.3">
      <c r="A47" s="1">
        <f t="shared" si="0"/>
        <v>450</v>
      </c>
      <c r="B47" s="5">
        <v>1424</v>
      </c>
      <c r="C47" s="3">
        <f>_25[[#This Row],[Tension '[V']]]/1000</f>
        <v>1.4239999999999999</v>
      </c>
      <c r="D47" s="5">
        <v>0</v>
      </c>
      <c r="E47" s="15"/>
      <c r="F47" s="3">
        <f>_25[[#This Row],[Corriente '[mA']]]/1000</f>
        <v>0</v>
      </c>
      <c r="G47" s="5">
        <v>0</v>
      </c>
      <c r="H47" s="4">
        <f>_25[[#This Row],[Potencia '[mW']]]/100000</f>
        <v>0</v>
      </c>
      <c r="I47" s="5">
        <v>1</v>
      </c>
    </row>
    <row r="48" spans="1:9" x14ac:dyDescent="0.3">
      <c r="A48" s="1">
        <f t="shared" si="0"/>
        <v>460</v>
      </c>
      <c r="B48" s="5">
        <v>1427</v>
      </c>
      <c r="C48" s="3">
        <f>_25[[#This Row],[Tension '[V']]]/1000</f>
        <v>1.427</v>
      </c>
      <c r="D48" s="5">
        <v>0</v>
      </c>
      <c r="E48" s="15"/>
      <c r="F48" s="3">
        <f>_25[[#This Row],[Corriente '[mA']]]/1000</f>
        <v>0</v>
      </c>
      <c r="G48" s="5">
        <v>0</v>
      </c>
      <c r="H48" s="4">
        <f>_25[[#This Row],[Potencia '[mW']]]/100000</f>
        <v>0</v>
      </c>
      <c r="I48" s="5">
        <v>1</v>
      </c>
    </row>
    <row r="49" spans="1:9" x14ac:dyDescent="0.3">
      <c r="A49" s="1">
        <f t="shared" si="0"/>
        <v>470</v>
      </c>
      <c r="B49" s="5">
        <v>1430</v>
      </c>
      <c r="C49" s="3">
        <f>_25[[#This Row],[Tension '[V']]]/1000</f>
        <v>1.43</v>
      </c>
      <c r="D49" s="5">
        <v>0</v>
      </c>
      <c r="E49" s="15"/>
      <c r="F49" s="3">
        <f>_25[[#This Row],[Corriente '[mA']]]/1000</f>
        <v>0</v>
      </c>
      <c r="G49" s="5">
        <v>0</v>
      </c>
      <c r="H49" s="4">
        <f>_25[[#This Row],[Potencia '[mW']]]/100000</f>
        <v>0</v>
      </c>
      <c r="I49" s="5">
        <v>0</v>
      </c>
    </row>
    <row r="50" spans="1:9" x14ac:dyDescent="0.3">
      <c r="A50" s="1">
        <f t="shared" si="0"/>
        <v>480</v>
      </c>
      <c r="B50" s="5">
        <v>1166</v>
      </c>
      <c r="C50" s="3">
        <f>_25[[#This Row],[Tension '[V']]]/1000</f>
        <v>1.1659999999999999</v>
      </c>
      <c r="D50" s="5">
        <v>389413</v>
      </c>
      <c r="E50" s="16">
        <f>(C49-C50)/(F50/1000)</f>
        <v>0.67794346875938916</v>
      </c>
      <c r="F50" s="3">
        <f>_25[[#This Row],[Corriente '[mA']]]/1000</f>
        <v>389.41300000000001</v>
      </c>
      <c r="G50" s="5">
        <v>45373614</v>
      </c>
      <c r="H50" s="4">
        <f>_25[[#This Row],[Potencia '[mW']]]/100000</f>
        <v>453.73613999999998</v>
      </c>
      <c r="I50" s="5">
        <v>0</v>
      </c>
    </row>
    <row r="51" spans="1:9" x14ac:dyDescent="0.3">
      <c r="A51" s="1">
        <f t="shared" si="0"/>
        <v>490</v>
      </c>
      <c r="B51" s="5">
        <v>1157</v>
      </c>
      <c r="C51" s="3">
        <f>_25[[#This Row],[Tension '[V']]]/1000</f>
        <v>1.157</v>
      </c>
      <c r="D51" s="5">
        <v>386413</v>
      </c>
      <c r="E51" s="15"/>
      <c r="F51" s="3">
        <f>_25[[#This Row],[Corriente '[mA']]]/1000</f>
        <v>386.41300000000001</v>
      </c>
      <c r="G51" s="5">
        <v>44686135</v>
      </c>
      <c r="H51" s="4">
        <f>_25[[#This Row],[Potencia '[mW']]]/100000</f>
        <v>446.86135000000002</v>
      </c>
      <c r="I51" s="5">
        <v>0</v>
      </c>
    </row>
    <row r="52" spans="1:9" x14ac:dyDescent="0.3">
      <c r="A52" s="1">
        <f t="shared" si="0"/>
        <v>500</v>
      </c>
      <c r="B52" s="5">
        <v>1150</v>
      </c>
      <c r="C52" s="3">
        <f>_25[[#This Row],[Tension '[V']]]/1000</f>
        <v>1.1499999999999999</v>
      </c>
      <c r="D52" s="5">
        <v>384438</v>
      </c>
      <c r="E52" s="15"/>
      <c r="F52" s="3">
        <f>_25[[#This Row],[Corriente '[mA']]]/1000</f>
        <v>384.43799999999999</v>
      </c>
      <c r="G52" s="5">
        <v>44248651</v>
      </c>
      <c r="H52" s="4">
        <f>_25[[#This Row],[Potencia '[mW']]]/100000</f>
        <v>442.48651000000001</v>
      </c>
      <c r="I52" s="5">
        <v>0</v>
      </c>
    </row>
    <row r="53" spans="1:9" x14ac:dyDescent="0.3">
      <c r="A53" s="1">
        <f t="shared" si="0"/>
        <v>510</v>
      </c>
      <c r="B53" s="5">
        <v>1146</v>
      </c>
      <c r="C53" s="3">
        <f>_25[[#This Row],[Tension '[V']]]/1000</f>
        <v>1.1459999999999999</v>
      </c>
      <c r="D53" s="5">
        <v>382963</v>
      </c>
      <c r="E53" s="15"/>
      <c r="F53" s="3">
        <f>_25[[#This Row],[Corriente '[mA']]]/1000</f>
        <v>382.96300000000002</v>
      </c>
      <c r="G53" s="5">
        <v>43936160</v>
      </c>
      <c r="H53" s="4">
        <f>_25[[#This Row],[Potencia '[mW']]]/100000</f>
        <v>439.36160000000001</v>
      </c>
      <c r="I53" s="5">
        <v>0</v>
      </c>
    </row>
    <row r="54" spans="1:9" x14ac:dyDescent="0.3">
      <c r="A54" s="1">
        <f t="shared" si="0"/>
        <v>520</v>
      </c>
      <c r="B54" s="5">
        <v>1142</v>
      </c>
      <c r="C54" s="3">
        <f>_25[[#This Row],[Tension '[V']]]/1000</f>
        <v>1.1419999999999999</v>
      </c>
      <c r="D54" s="5">
        <v>381738</v>
      </c>
      <c r="E54" s="15"/>
      <c r="F54" s="3">
        <f>_25[[#This Row],[Corriente '[mA']]]/1000</f>
        <v>381.738</v>
      </c>
      <c r="G54" s="5">
        <v>43623669</v>
      </c>
      <c r="H54" s="4">
        <f>_25[[#This Row],[Potencia '[mW']]]/100000</f>
        <v>436.23669000000001</v>
      </c>
      <c r="I54" s="5">
        <v>0</v>
      </c>
    </row>
    <row r="55" spans="1:9" x14ac:dyDescent="0.3">
      <c r="A55" s="1">
        <f t="shared" si="0"/>
        <v>530</v>
      </c>
      <c r="B55" s="5">
        <v>1140</v>
      </c>
      <c r="C55" s="3">
        <f>_25[[#This Row],[Tension '[V']]]/1000</f>
        <v>1.1399999999999999</v>
      </c>
      <c r="D55" s="5">
        <v>380838</v>
      </c>
      <c r="E55" s="15"/>
      <c r="F55" s="3">
        <f>_25[[#This Row],[Corriente '[mA']]]/1000</f>
        <v>380.83800000000002</v>
      </c>
      <c r="G55" s="5">
        <v>43436175</v>
      </c>
      <c r="H55" s="4">
        <f>_25[[#This Row],[Potencia '[mW']]]/100000</f>
        <v>434.36174999999997</v>
      </c>
      <c r="I55" s="5">
        <v>0</v>
      </c>
    </row>
    <row r="56" spans="1:9" x14ac:dyDescent="0.3">
      <c r="A56" s="1">
        <f t="shared" si="0"/>
        <v>540</v>
      </c>
      <c r="B56" s="5">
        <v>1137</v>
      </c>
      <c r="C56" s="3">
        <f>_25[[#This Row],[Tension '[V']]]/1000</f>
        <v>1.137</v>
      </c>
      <c r="D56" s="5">
        <v>379913</v>
      </c>
      <c r="E56" s="15"/>
      <c r="F56" s="3">
        <f>_25[[#This Row],[Corriente '[mA']]]/1000</f>
        <v>379.91300000000001</v>
      </c>
      <c r="G56" s="5">
        <v>43186181</v>
      </c>
      <c r="H56" s="4">
        <f>_25[[#This Row],[Potencia '[mW']]]/100000</f>
        <v>431.86180999999999</v>
      </c>
      <c r="I56" s="5">
        <v>0</v>
      </c>
    </row>
    <row r="57" spans="1:9" x14ac:dyDescent="0.3">
      <c r="A57" s="1">
        <f t="shared" si="0"/>
        <v>550</v>
      </c>
      <c r="B57" s="5">
        <v>1135</v>
      </c>
      <c r="C57" s="3">
        <f>_25[[#This Row],[Tension '[V']]]/1000</f>
        <v>1.135</v>
      </c>
      <c r="D57" s="5">
        <v>379088</v>
      </c>
      <c r="E57" s="15"/>
      <c r="F57" s="3">
        <f>_25[[#This Row],[Corriente '[mA']]]/1000</f>
        <v>379.08800000000002</v>
      </c>
      <c r="G57" s="5">
        <v>42998687</v>
      </c>
      <c r="H57" s="4">
        <f>_25[[#This Row],[Potencia '[mW']]]/100000</f>
        <v>429.98687000000001</v>
      </c>
      <c r="I57" s="5">
        <v>0</v>
      </c>
    </row>
    <row r="58" spans="1:9" x14ac:dyDescent="0.3">
      <c r="A58" s="1">
        <f t="shared" si="0"/>
        <v>560</v>
      </c>
      <c r="B58" s="5">
        <v>1132</v>
      </c>
      <c r="C58" s="3">
        <f>_25[[#This Row],[Tension '[V']]]/1000</f>
        <v>1.1319999999999999</v>
      </c>
      <c r="D58" s="5">
        <v>378313</v>
      </c>
      <c r="E58" s="15"/>
      <c r="F58" s="3">
        <f>_25[[#This Row],[Corriente '[mA']]]/1000</f>
        <v>378.31299999999999</v>
      </c>
      <c r="G58" s="5">
        <v>42811193</v>
      </c>
      <c r="H58" s="4">
        <f>_25[[#This Row],[Potencia '[mW']]]/100000</f>
        <v>428.11192999999997</v>
      </c>
      <c r="I58" s="5">
        <v>0</v>
      </c>
    </row>
    <row r="59" spans="1:9" x14ac:dyDescent="0.3">
      <c r="A59" s="1">
        <f t="shared" si="0"/>
        <v>570</v>
      </c>
      <c r="B59" s="5">
        <v>1130</v>
      </c>
      <c r="C59" s="3">
        <f>_25[[#This Row],[Tension '[V']]]/1000</f>
        <v>1.1299999999999999</v>
      </c>
      <c r="D59" s="5">
        <v>377588</v>
      </c>
      <c r="E59" s="15"/>
      <c r="F59" s="3">
        <f>_25[[#This Row],[Corriente '[mA']]]/1000</f>
        <v>377.58800000000002</v>
      </c>
      <c r="G59" s="5">
        <v>42686196</v>
      </c>
      <c r="H59" s="4">
        <f>_25[[#This Row],[Potencia '[mW']]]/100000</f>
        <v>426.86196000000001</v>
      </c>
      <c r="I59" s="5">
        <v>0</v>
      </c>
    </row>
    <row r="60" spans="1:9" x14ac:dyDescent="0.3">
      <c r="A60" s="1">
        <f t="shared" si="0"/>
        <v>580</v>
      </c>
      <c r="B60" s="5">
        <v>1129</v>
      </c>
      <c r="C60" s="3">
        <f>_25[[#This Row],[Tension '[V']]]/1000</f>
        <v>1.129</v>
      </c>
      <c r="D60" s="5">
        <v>376938</v>
      </c>
      <c r="E60" s="15"/>
      <c r="F60" s="3">
        <f>_25[[#This Row],[Corriente '[mA']]]/1000</f>
        <v>376.93799999999999</v>
      </c>
      <c r="G60" s="5">
        <v>42498703</v>
      </c>
      <c r="H60" s="4">
        <f>_25[[#This Row],[Potencia '[mW']]]/100000</f>
        <v>424.98703</v>
      </c>
      <c r="I60" s="5">
        <v>0</v>
      </c>
    </row>
    <row r="61" spans="1:9" x14ac:dyDescent="0.3">
      <c r="A61" s="1">
        <f t="shared" si="0"/>
        <v>590</v>
      </c>
      <c r="B61" s="5">
        <v>1126</v>
      </c>
      <c r="C61" s="3">
        <f>_25[[#This Row],[Tension '[V']]]/1000</f>
        <v>1.1259999999999999</v>
      </c>
      <c r="D61" s="5">
        <v>376264</v>
      </c>
      <c r="E61" s="15"/>
      <c r="F61" s="3">
        <f>_25[[#This Row],[Corriente '[mA']]]/1000</f>
        <v>376.26400000000001</v>
      </c>
      <c r="G61" s="5">
        <v>42373706</v>
      </c>
      <c r="H61" s="4">
        <f>_25[[#This Row],[Potencia '[mW']]]/100000</f>
        <v>423.73705999999999</v>
      </c>
      <c r="I61" s="5">
        <v>0</v>
      </c>
    </row>
    <row r="62" spans="1:9" x14ac:dyDescent="0.3">
      <c r="A62" s="1">
        <f t="shared" si="0"/>
        <v>600</v>
      </c>
      <c r="B62" s="5">
        <v>1125</v>
      </c>
      <c r="C62" s="3">
        <f>_25[[#This Row],[Tension '[V']]]/1000</f>
        <v>1.125</v>
      </c>
      <c r="D62" s="5">
        <v>375639</v>
      </c>
      <c r="E62" s="15"/>
      <c r="F62" s="3">
        <f>_25[[#This Row],[Corriente '[mA']]]/1000</f>
        <v>375.63900000000001</v>
      </c>
      <c r="G62" s="5">
        <v>42248712</v>
      </c>
      <c r="H62" s="4">
        <f>_25[[#This Row],[Potencia '[mW']]]/100000</f>
        <v>422.48712</v>
      </c>
      <c r="I62" s="5">
        <v>0</v>
      </c>
    </row>
    <row r="63" spans="1:9" x14ac:dyDescent="0.3">
      <c r="A63" s="1">
        <f t="shared" si="0"/>
        <v>610</v>
      </c>
      <c r="B63" s="5">
        <v>1122</v>
      </c>
      <c r="C63" s="3">
        <f>_25[[#This Row],[Tension '[V']]]/1000</f>
        <v>1.1220000000000001</v>
      </c>
      <c r="D63" s="5">
        <v>375039</v>
      </c>
      <c r="E63" s="15"/>
      <c r="F63" s="3">
        <f>_25[[#This Row],[Corriente '[mA']]]/1000</f>
        <v>375.03899999999999</v>
      </c>
      <c r="G63" s="5">
        <v>42061215</v>
      </c>
      <c r="H63" s="4">
        <f>_25[[#This Row],[Potencia '[mW']]]/100000</f>
        <v>420.61214999999999</v>
      </c>
      <c r="I63" s="5">
        <v>0</v>
      </c>
    </row>
    <row r="64" spans="1:9" x14ac:dyDescent="0.3">
      <c r="A64" s="1">
        <f t="shared" si="0"/>
        <v>620</v>
      </c>
      <c r="B64" s="5">
        <v>1120</v>
      </c>
      <c r="C64" s="3">
        <f>_25[[#This Row],[Tension '[V']]]/1000</f>
        <v>1.1200000000000001</v>
      </c>
      <c r="D64" s="5">
        <v>374439</v>
      </c>
      <c r="E64" s="15"/>
      <c r="F64" s="3">
        <f>_25[[#This Row],[Corriente '[mA']]]/1000</f>
        <v>374.43900000000002</v>
      </c>
      <c r="G64" s="5">
        <v>41998718</v>
      </c>
      <c r="H64" s="4">
        <f>_25[[#This Row],[Potencia '[mW']]]/100000</f>
        <v>419.98718000000002</v>
      </c>
      <c r="I64" s="5">
        <v>0</v>
      </c>
    </row>
    <row r="65" spans="1:9" x14ac:dyDescent="0.3">
      <c r="A65" s="1">
        <f t="shared" si="0"/>
        <v>630</v>
      </c>
      <c r="B65" s="5">
        <v>1119</v>
      </c>
      <c r="C65" s="3">
        <f>_25[[#This Row],[Tension '[V']]]/1000</f>
        <v>1.119</v>
      </c>
      <c r="D65" s="5">
        <v>373864</v>
      </c>
      <c r="E65" s="15"/>
      <c r="F65" s="3">
        <f>_25[[#This Row],[Corriente '[mA']]]/1000</f>
        <v>373.86399999999998</v>
      </c>
      <c r="G65" s="5">
        <v>41748724</v>
      </c>
      <c r="H65" s="4">
        <f>_25[[#This Row],[Potencia '[mW']]]/100000</f>
        <v>417.48723999999999</v>
      </c>
      <c r="I65" s="5">
        <v>0</v>
      </c>
    </row>
    <row r="66" spans="1:9" x14ac:dyDescent="0.3">
      <c r="A66" s="1">
        <f t="shared" si="0"/>
        <v>640</v>
      </c>
      <c r="B66" s="5">
        <v>1117</v>
      </c>
      <c r="C66" s="3">
        <f>_25[[#This Row],[Tension '[V']]]/1000</f>
        <v>1.117</v>
      </c>
      <c r="D66" s="5">
        <v>373314</v>
      </c>
      <c r="E66" s="15"/>
      <c r="F66" s="3">
        <f>_25[[#This Row],[Corriente '[mA']]]/1000</f>
        <v>373.31400000000002</v>
      </c>
      <c r="G66" s="5">
        <v>41686227</v>
      </c>
      <c r="H66" s="4">
        <f>_25[[#This Row],[Potencia '[mW']]]/100000</f>
        <v>416.86227000000002</v>
      </c>
      <c r="I66" s="5">
        <v>0</v>
      </c>
    </row>
    <row r="67" spans="1:9" x14ac:dyDescent="0.3">
      <c r="A67" s="1">
        <f t="shared" si="0"/>
        <v>650</v>
      </c>
      <c r="B67" s="5">
        <v>1116</v>
      </c>
      <c r="C67" s="3">
        <f>_25[[#This Row],[Tension '[V']]]/1000</f>
        <v>1.1160000000000001</v>
      </c>
      <c r="D67" s="5">
        <v>372764</v>
      </c>
      <c r="E67" s="16">
        <f>(C68-C67)/(F67/1000)</f>
        <v>0.70017490959427386</v>
      </c>
      <c r="F67" s="3">
        <f>_25[[#This Row],[Corriente '[mA']]]/1000</f>
        <v>372.76400000000001</v>
      </c>
      <c r="G67" s="5">
        <v>41561230</v>
      </c>
      <c r="H67" s="4">
        <f>_25[[#This Row],[Potencia '[mW']]]/100000</f>
        <v>415.6123</v>
      </c>
      <c r="I67" s="5">
        <v>1</v>
      </c>
    </row>
    <row r="68" spans="1:9" x14ac:dyDescent="0.3">
      <c r="A68" s="1">
        <f t="shared" ref="A68:A88" si="2">A67+10</f>
        <v>660</v>
      </c>
      <c r="B68" s="5">
        <v>1377</v>
      </c>
      <c r="C68" s="3">
        <f>_25[[#This Row],[Tension '[V']]]/1000</f>
        <v>1.377</v>
      </c>
      <c r="D68" s="5">
        <v>0</v>
      </c>
      <c r="E68" s="15"/>
      <c r="F68" s="3">
        <f>_25[[#This Row],[Corriente '[mA']]]/1000</f>
        <v>0</v>
      </c>
      <c r="G68" s="5">
        <v>0</v>
      </c>
      <c r="H68" s="4">
        <f>_25[[#This Row],[Potencia '[mW']]]/100000</f>
        <v>0</v>
      </c>
      <c r="I68" s="5">
        <v>1</v>
      </c>
    </row>
    <row r="69" spans="1:9" x14ac:dyDescent="0.3">
      <c r="A69" s="1">
        <f t="shared" si="2"/>
        <v>670</v>
      </c>
      <c r="B69" s="5">
        <v>1387</v>
      </c>
      <c r="C69" s="3">
        <f>_25[[#This Row],[Tension '[V']]]/1000</f>
        <v>1.387</v>
      </c>
      <c r="D69" s="5">
        <v>0</v>
      </c>
      <c r="E69" s="15"/>
      <c r="F69" s="3">
        <f>_25[[#This Row],[Corriente '[mA']]]/1000</f>
        <v>0</v>
      </c>
      <c r="G69" s="5">
        <v>0</v>
      </c>
      <c r="H69" s="4">
        <f>_25[[#This Row],[Potencia '[mW']]]/100000</f>
        <v>0</v>
      </c>
      <c r="I69" s="5">
        <v>1</v>
      </c>
    </row>
    <row r="70" spans="1:9" x14ac:dyDescent="0.3">
      <c r="A70" s="1">
        <f t="shared" si="2"/>
        <v>680</v>
      </c>
      <c r="B70" s="5">
        <v>1395</v>
      </c>
      <c r="C70" s="3">
        <f>_25[[#This Row],[Tension '[V']]]/1000</f>
        <v>1.395</v>
      </c>
      <c r="D70" s="5">
        <v>0</v>
      </c>
      <c r="E70" s="15"/>
      <c r="F70" s="3">
        <f>_25[[#This Row],[Corriente '[mA']]]/1000</f>
        <v>0</v>
      </c>
      <c r="G70" s="5">
        <v>0</v>
      </c>
      <c r="H70" s="4">
        <f>_25[[#This Row],[Potencia '[mW']]]/100000</f>
        <v>0</v>
      </c>
      <c r="I70" s="5">
        <v>1</v>
      </c>
    </row>
    <row r="71" spans="1:9" x14ac:dyDescent="0.3">
      <c r="A71" s="1">
        <f t="shared" si="2"/>
        <v>690</v>
      </c>
      <c r="B71" s="5">
        <v>1400</v>
      </c>
      <c r="C71" s="3">
        <f>_25[[#This Row],[Tension '[V']]]/1000</f>
        <v>1.4</v>
      </c>
      <c r="D71" s="5">
        <v>0</v>
      </c>
      <c r="E71" s="15"/>
      <c r="F71" s="3">
        <f>_25[[#This Row],[Corriente '[mA']]]/1000</f>
        <v>0</v>
      </c>
      <c r="G71" s="5">
        <v>0</v>
      </c>
      <c r="H71" s="4">
        <f>_25[[#This Row],[Potencia '[mW']]]/100000</f>
        <v>0</v>
      </c>
      <c r="I71" s="5">
        <v>1</v>
      </c>
    </row>
    <row r="72" spans="1:9" x14ac:dyDescent="0.3">
      <c r="A72" s="1">
        <f t="shared" si="2"/>
        <v>700</v>
      </c>
      <c r="B72" s="5">
        <v>1404</v>
      </c>
      <c r="C72" s="3">
        <f>_25[[#This Row],[Tension '[V']]]/1000</f>
        <v>1.4039999999999999</v>
      </c>
      <c r="D72" s="5">
        <v>0</v>
      </c>
      <c r="E72" s="15"/>
      <c r="F72" s="3">
        <f>_25[[#This Row],[Corriente '[mA']]]/1000</f>
        <v>0</v>
      </c>
      <c r="G72" s="5">
        <v>0</v>
      </c>
      <c r="H72" s="4">
        <f>_25[[#This Row],[Potencia '[mW']]]/100000</f>
        <v>0</v>
      </c>
      <c r="I72" s="5">
        <v>1</v>
      </c>
    </row>
    <row r="73" spans="1:9" x14ac:dyDescent="0.3">
      <c r="A73" s="1">
        <f t="shared" si="2"/>
        <v>710</v>
      </c>
      <c r="B73" s="5">
        <v>1406</v>
      </c>
      <c r="C73" s="3">
        <f>_25[[#This Row],[Tension '[V']]]/1000</f>
        <v>1.4059999999999999</v>
      </c>
      <c r="D73" s="5">
        <v>0</v>
      </c>
      <c r="E73" s="15"/>
      <c r="F73" s="3">
        <f>_25[[#This Row],[Corriente '[mA']]]/1000</f>
        <v>0</v>
      </c>
      <c r="G73" s="5">
        <v>0</v>
      </c>
      <c r="H73" s="4">
        <f>_25[[#This Row],[Potencia '[mW']]]/100000</f>
        <v>0</v>
      </c>
      <c r="I73" s="5">
        <v>0</v>
      </c>
    </row>
    <row r="74" spans="1:9" x14ac:dyDescent="0.3">
      <c r="A74" s="1">
        <f t="shared" si="2"/>
        <v>720</v>
      </c>
      <c r="B74" s="5">
        <v>1139</v>
      </c>
      <c r="C74" s="3">
        <f>_25[[#This Row],[Tension '[V']]]/1000</f>
        <v>1.139</v>
      </c>
      <c r="D74" s="5">
        <v>380413</v>
      </c>
      <c r="E74" s="16">
        <f>(C73-C74)/(F74/1000)</f>
        <v>0.70186875842833951</v>
      </c>
      <c r="F74" s="3">
        <f>_25[[#This Row],[Corriente '[mA']]]/1000</f>
        <v>380.41300000000001</v>
      </c>
      <c r="G74" s="5">
        <v>43311178</v>
      </c>
      <c r="H74" s="4">
        <f>_25[[#This Row],[Potencia '[mW']]]/100000</f>
        <v>433.11178000000001</v>
      </c>
      <c r="I74" s="5">
        <v>0</v>
      </c>
    </row>
    <row r="75" spans="1:9" x14ac:dyDescent="0.3">
      <c r="A75" s="1">
        <f t="shared" si="2"/>
        <v>730</v>
      </c>
      <c r="B75" s="5">
        <v>1130</v>
      </c>
      <c r="C75" s="3">
        <f>_25[[#This Row],[Tension '[V']]]/1000</f>
        <v>1.1299999999999999</v>
      </c>
      <c r="D75" s="5">
        <v>377413</v>
      </c>
      <c r="E75" s="15"/>
      <c r="F75" s="3">
        <f>_25[[#This Row],[Corriente '[mA']]]/1000</f>
        <v>377.41300000000001</v>
      </c>
      <c r="G75" s="5">
        <v>42623699</v>
      </c>
      <c r="H75" s="4">
        <f>_25[[#This Row],[Potencia '[mW']]]/100000</f>
        <v>426.23698999999999</v>
      </c>
      <c r="I75" s="5">
        <v>0</v>
      </c>
    </row>
    <row r="76" spans="1:9" x14ac:dyDescent="0.3">
      <c r="A76" s="1">
        <f t="shared" si="2"/>
        <v>740</v>
      </c>
      <c r="B76" s="5">
        <v>1124</v>
      </c>
      <c r="C76" s="3">
        <f>_25[[#This Row],[Tension '[V']]]/1000</f>
        <v>1.1240000000000001</v>
      </c>
      <c r="D76" s="5">
        <v>375489</v>
      </c>
      <c r="E76" s="15"/>
      <c r="F76" s="3">
        <f>_25[[#This Row],[Corriente '[mA']]]/1000</f>
        <v>375.48899999999998</v>
      </c>
      <c r="G76" s="5">
        <v>42186212</v>
      </c>
      <c r="H76" s="4">
        <f>_25[[#This Row],[Potencia '[mW']]]/100000</f>
        <v>421.86212</v>
      </c>
      <c r="I76" s="5">
        <v>0</v>
      </c>
    </row>
    <row r="77" spans="1:9" x14ac:dyDescent="0.3">
      <c r="A77" s="1">
        <f t="shared" si="2"/>
        <v>750</v>
      </c>
      <c r="B77" s="5">
        <v>1120</v>
      </c>
      <c r="C77" s="3">
        <f>_25[[#This Row],[Tension '[V']]]/1000</f>
        <v>1.1200000000000001</v>
      </c>
      <c r="D77" s="5">
        <v>374064</v>
      </c>
      <c r="E77" s="15"/>
      <c r="F77" s="3">
        <f>_25[[#This Row],[Corriente '[mA']]]/1000</f>
        <v>374.06400000000002</v>
      </c>
      <c r="G77" s="5">
        <v>41873721</v>
      </c>
      <c r="H77" s="4">
        <f>_25[[#This Row],[Potencia '[mW']]]/100000</f>
        <v>418.73721</v>
      </c>
      <c r="I77" s="5">
        <v>0</v>
      </c>
    </row>
    <row r="78" spans="1:9" x14ac:dyDescent="0.3">
      <c r="A78" s="1">
        <f t="shared" si="2"/>
        <v>760</v>
      </c>
      <c r="B78" s="5">
        <v>1116</v>
      </c>
      <c r="C78" s="3">
        <f>_25[[#This Row],[Tension '[V']]]/1000</f>
        <v>1.1160000000000001</v>
      </c>
      <c r="D78" s="5">
        <v>372914</v>
      </c>
      <c r="E78" s="15"/>
      <c r="F78" s="3">
        <f>_25[[#This Row],[Corriente '[mA']]]/1000</f>
        <v>372.91399999999999</v>
      </c>
      <c r="G78" s="5">
        <v>41561230</v>
      </c>
      <c r="H78" s="4">
        <f>_25[[#This Row],[Potencia '[mW']]]/100000</f>
        <v>415.6123</v>
      </c>
      <c r="I78" s="5">
        <v>0</v>
      </c>
    </row>
    <row r="79" spans="1:9" x14ac:dyDescent="0.3">
      <c r="A79" s="1">
        <f t="shared" si="2"/>
        <v>770</v>
      </c>
      <c r="B79" s="5">
        <v>1114</v>
      </c>
      <c r="C79" s="3">
        <f>_25[[#This Row],[Tension '[V']]]/1000</f>
        <v>1.1140000000000001</v>
      </c>
      <c r="D79" s="5">
        <v>371939</v>
      </c>
      <c r="E79" s="15"/>
      <c r="F79" s="3">
        <f>_25[[#This Row],[Corriente '[mA']]]/1000</f>
        <v>371.93900000000002</v>
      </c>
      <c r="G79" s="5">
        <v>41373736</v>
      </c>
      <c r="H79" s="4">
        <f>_25[[#This Row],[Potencia '[mW']]]/100000</f>
        <v>413.73736000000002</v>
      </c>
      <c r="I79" s="5">
        <v>0</v>
      </c>
    </row>
    <row r="80" spans="1:9" x14ac:dyDescent="0.3">
      <c r="A80" s="1">
        <f t="shared" si="2"/>
        <v>780</v>
      </c>
      <c r="B80" s="5">
        <v>1111</v>
      </c>
      <c r="C80" s="3">
        <f>_25[[#This Row],[Tension '[V']]]/1000</f>
        <v>1.111</v>
      </c>
      <c r="D80" s="5">
        <v>371039</v>
      </c>
      <c r="E80" s="15"/>
      <c r="F80" s="3">
        <f>_25[[#This Row],[Corriente '[mA']]]/1000</f>
        <v>371.03899999999999</v>
      </c>
      <c r="G80" s="5">
        <v>41248742</v>
      </c>
      <c r="H80" s="4">
        <f>_25[[#This Row],[Potencia '[mW']]]/100000</f>
        <v>412.48741999999999</v>
      </c>
      <c r="I80" s="5">
        <v>0</v>
      </c>
    </row>
    <row r="81" spans="1:11" x14ac:dyDescent="0.3">
      <c r="A81" s="1">
        <f t="shared" si="2"/>
        <v>790</v>
      </c>
      <c r="B81" s="5">
        <v>1109</v>
      </c>
      <c r="C81" s="3">
        <f>_25[[#This Row],[Tension '[V']]]/1000</f>
        <v>1.109</v>
      </c>
      <c r="D81" s="5">
        <v>370239</v>
      </c>
      <c r="E81" s="15"/>
      <c r="F81" s="3">
        <f>_25[[#This Row],[Corriente '[mA']]]/1000</f>
        <v>370.23899999999998</v>
      </c>
      <c r="G81" s="5">
        <v>41061245</v>
      </c>
      <c r="H81" s="4">
        <f>_25[[#This Row],[Potencia '[mW']]]/100000</f>
        <v>410.61245000000002</v>
      </c>
      <c r="I81" s="5">
        <v>0</v>
      </c>
    </row>
    <row r="82" spans="1:11" x14ac:dyDescent="0.3">
      <c r="A82" s="1">
        <f t="shared" si="2"/>
        <v>800</v>
      </c>
      <c r="B82" s="5">
        <v>1106</v>
      </c>
      <c r="C82" s="3">
        <f>_25[[#This Row],[Tension '[V']]]/1000</f>
        <v>1.1060000000000001</v>
      </c>
      <c r="D82" s="5">
        <v>369539</v>
      </c>
      <c r="E82" s="15"/>
      <c r="F82" s="3">
        <f>_25[[#This Row],[Corriente '[mA']]]/1000</f>
        <v>369.53899999999999</v>
      </c>
      <c r="G82" s="5">
        <v>40873751</v>
      </c>
      <c r="H82" s="4">
        <f>_25[[#This Row],[Potencia '[mW']]]/100000</f>
        <v>408.73750999999999</v>
      </c>
      <c r="I82" s="5">
        <v>0</v>
      </c>
    </row>
    <row r="83" spans="1:11" x14ac:dyDescent="0.3">
      <c r="A83" s="1">
        <f t="shared" si="2"/>
        <v>810</v>
      </c>
      <c r="B83" s="5">
        <v>1104</v>
      </c>
      <c r="C83" s="3">
        <f>_25[[#This Row],[Tension '[V']]]/1000</f>
        <v>1.1040000000000001</v>
      </c>
      <c r="D83" s="5">
        <v>368839</v>
      </c>
      <c r="E83" s="15"/>
      <c r="F83" s="3">
        <f>_25[[#This Row],[Corriente '[mA']]]/1000</f>
        <v>368.839</v>
      </c>
      <c r="G83" s="5">
        <v>40748754</v>
      </c>
      <c r="H83" s="4">
        <f>_25[[#This Row],[Potencia '[mW']]]/100000</f>
        <v>407.48754000000002</v>
      </c>
      <c r="I83" s="5">
        <v>0</v>
      </c>
    </row>
    <row r="84" spans="1:11" x14ac:dyDescent="0.3">
      <c r="A84" s="1">
        <f t="shared" si="2"/>
        <v>820</v>
      </c>
      <c r="B84" s="5">
        <v>1102</v>
      </c>
      <c r="C84" s="3">
        <f>_25[[#This Row],[Tension '[V']]]/1000</f>
        <v>1.1020000000000001</v>
      </c>
      <c r="D84" s="5">
        <v>368214</v>
      </c>
      <c r="E84" s="15"/>
      <c r="F84" s="3">
        <f>_25[[#This Row],[Corriente '[mA']]]/1000</f>
        <v>368.214</v>
      </c>
      <c r="G84" s="5">
        <v>40561260</v>
      </c>
      <c r="H84" s="4">
        <f>_25[[#This Row],[Potencia '[mW']]]/100000</f>
        <v>405.61259999999999</v>
      </c>
      <c r="I84" s="5">
        <v>0</v>
      </c>
    </row>
    <row r="85" spans="1:11" x14ac:dyDescent="0.3">
      <c r="A85" s="1">
        <f t="shared" si="2"/>
        <v>830</v>
      </c>
      <c r="B85" s="5">
        <v>1100</v>
      </c>
      <c r="C85" s="3">
        <f>_25[[#This Row],[Tension '[V']]]/1000</f>
        <v>1.1000000000000001</v>
      </c>
      <c r="D85" s="5">
        <v>367589</v>
      </c>
      <c r="E85" s="15"/>
      <c r="F85" s="3">
        <f>_25[[#This Row],[Corriente '[mA']]]/1000</f>
        <v>367.589</v>
      </c>
      <c r="G85" s="5">
        <v>40436267</v>
      </c>
      <c r="H85" s="4">
        <f>_25[[#This Row],[Potencia '[mW']]]/100000</f>
        <v>404.36266999999998</v>
      </c>
      <c r="I85" s="5">
        <v>0</v>
      </c>
    </row>
    <row r="86" spans="1:11" x14ac:dyDescent="0.3">
      <c r="A86" s="6">
        <f t="shared" si="2"/>
        <v>840</v>
      </c>
      <c r="B86" s="7">
        <v>14062</v>
      </c>
      <c r="C86" s="8">
        <f>_25[[#This Row],[Tension '[V']]]/10000</f>
        <v>1.4061999999999999</v>
      </c>
      <c r="D86" s="7">
        <v>0</v>
      </c>
      <c r="E86" s="17"/>
      <c r="F86" s="8">
        <f>_25[[#This Row],[Corriente '[mA']]]/1000</f>
        <v>0</v>
      </c>
      <c r="G86" s="7">
        <v>0</v>
      </c>
      <c r="H86" s="9">
        <f>_25[[#This Row],[Potencia '[mW']]]/100000</f>
        <v>0</v>
      </c>
      <c r="I86" s="7">
        <v>0</v>
      </c>
    </row>
    <row r="87" spans="1:11" x14ac:dyDescent="0.3">
      <c r="A87" s="6">
        <f t="shared" si="2"/>
        <v>850</v>
      </c>
      <c r="B87" s="7">
        <v>14062</v>
      </c>
      <c r="C87" s="8">
        <f>_25[[#This Row],[Tension '[V']]]/10000</f>
        <v>1.4061999999999999</v>
      </c>
      <c r="D87" s="7">
        <v>0</v>
      </c>
      <c r="E87" s="17"/>
      <c r="F87" s="8">
        <f>_25[[#This Row],[Corriente '[mA']]]/1000</f>
        <v>0</v>
      </c>
      <c r="G87" s="7">
        <v>0</v>
      </c>
      <c r="H87" s="9">
        <f>_25[[#This Row],[Potencia '[mW']]]/100000</f>
        <v>0</v>
      </c>
      <c r="I87" s="7">
        <v>0</v>
      </c>
    </row>
    <row r="88" spans="1:11" x14ac:dyDescent="0.3">
      <c r="A88" s="6">
        <f t="shared" si="2"/>
        <v>860</v>
      </c>
      <c r="B88" s="7">
        <v>14062</v>
      </c>
      <c r="C88" s="8">
        <f>_25[[#This Row],[Tension '[V']]]/10000</f>
        <v>1.4061999999999999</v>
      </c>
      <c r="D88" s="7">
        <v>0</v>
      </c>
      <c r="E88" s="17"/>
      <c r="F88" s="8">
        <f>_25[[#This Row],[Corriente '[mA']]]/1000</f>
        <v>0</v>
      </c>
      <c r="G88" s="7">
        <v>0</v>
      </c>
      <c r="H88" s="9">
        <f>_25[[#This Row],[Potencia '[mW']]]/100000</f>
        <v>0</v>
      </c>
      <c r="I88" s="7">
        <v>0</v>
      </c>
    </row>
    <row r="89" spans="1:11" x14ac:dyDescent="0.3">
      <c r="A89" s="19">
        <f>(A85/60)/60</f>
        <v>0.23055555555555557</v>
      </c>
      <c r="E89" s="15"/>
      <c r="F89" s="18">
        <f>AVERAGEIF(_25[Corriente '[mA']2],"&gt;0")</f>
        <v>387.72932307692304</v>
      </c>
      <c r="J89" s="20">
        <f>_25[[#Totals],[Corriente '[mA']2]]*_25[[#Totals],[Tiempo '[s']]]</f>
        <v>89.393149487179485</v>
      </c>
      <c r="K89" s="21" t="s">
        <v>10</v>
      </c>
    </row>
  </sheetData>
  <phoneticPr fontId="3" type="noConversion"/>
  <pageMargins left="0.7" right="0.7" top="0.75" bottom="0.75" header="0.3" footer="0.3"/>
  <ignoredErrors>
    <ignoredError sqref="E26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4C7A-0BAD-45EB-A090-7ABA888A45A1}">
  <dimension ref="A1:K91"/>
  <sheetViews>
    <sheetView workbookViewId="0">
      <selection activeCell="E19" sqref="E19"/>
    </sheetView>
  </sheetViews>
  <sheetFormatPr baseColWidth="10" defaultRowHeight="14.4" x14ac:dyDescent="0.3"/>
  <cols>
    <col min="1" max="1" width="10.109375" style="1" customWidth="1"/>
    <col min="2" max="2" width="7.88671875" style="5" customWidth="1"/>
    <col min="3" max="3" width="9.77734375" style="3" customWidth="1"/>
    <col min="4" max="4" width="9" style="5" customWidth="1"/>
    <col min="5" max="5" width="9.6640625" style="5" customWidth="1"/>
    <col min="6" max="6" width="9" style="3" customWidth="1"/>
    <col min="7" max="7" width="10.5546875" style="5" customWidth="1"/>
    <col min="8" max="8" width="11.33203125" style="4" customWidth="1"/>
    <col min="9" max="9" width="14.33203125" style="5" customWidth="1"/>
    <col min="10" max="16384" width="11.5546875" style="5"/>
  </cols>
  <sheetData>
    <row r="1" spans="1:11" s="14" customFormat="1" ht="29.4" customHeight="1" x14ac:dyDescent="0.3">
      <c r="A1" s="10" t="s">
        <v>0</v>
      </c>
      <c r="B1" s="11" t="s">
        <v>1</v>
      </c>
      <c r="C1" s="12" t="s">
        <v>6</v>
      </c>
      <c r="D1" s="11" t="s">
        <v>2</v>
      </c>
      <c r="E1" s="11" t="s">
        <v>9</v>
      </c>
      <c r="F1" s="12" t="s">
        <v>7</v>
      </c>
      <c r="G1" s="11" t="s">
        <v>3</v>
      </c>
      <c r="H1" s="13" t="s">
        <v>8</v>
      </c>
      <c r="I1" s="14" t="s">
        <v>4</v>
      </c>
      <c r="J1" s="14" t="s">
        <v>12</v>
      </c>
      <c r="K1" s="14" t="s">
        <v>33</v>
      </c>
    </row>
    <row r="2" spans="1:11" x14ac:dyDescent="0.3">
      <c r="A2" s="1">
        <v>0</v>
      </c>
      <c r="B2" s="5">
        <v>1576</v>
      </c>
      <c r="C2" s="3">
        <f>_25_3[[#This Row],[Tension '[V']]]/1000</f>
        <v>1.5760000000000001</v>
      </c>
      <c r="D2" s="5">
        <v>0</v>
      </c>
      <c r="E2" s="15"/>
      <c r="F2" s="3">
        <f>_25_3[[#This Row],[Corriente '[mA']]]/1000</f>
        <v>0</v>
      </c>
      <c r="G2" s="5">
        <v>0</v>
      </c>
      <c r="H2" s="4">
        <f>_25_3[[#This Row],[Potencia '[mW']]]/100000</f>
        <v>0</v>
      </c>
      <c r="I2" s="5">
        <v>0</v>
      </c>
      <c r="J2" s="24"/>
      <c r="K2" s="2"/>
    </row>
    <row r="3" spans="1:11" x14ac:dyDescent="0.3">
      <c r="A3" s="1">
        <f>A2+10</f>
        <v>10</v>
      </c>
      <c r="B3" s="5">
        <v>1276</v>
      </c>
      <c r="C3" s="3">
        <f>_25_3[[#This Row],[Tension '[V']]]/1000</f>
        <v>1.276</v>
      </c>
      <c r="D3" s="5">
        <v>425487</v>
      </c>
      <c r="E3" s="15"/>
      <c r="F3" s="3">
        <f>_25_3[[#This Row],[Corriente '[mA']]]/1000</f>
        <v>425.48700000000002</v>
      </c>
      <c r="G3" s="5">
        <v>54248345</v>
      </c>
      <c r="H3" s="4">
        <f>_25_3[[#This Row],[Potencia '[mW']]]/100000</f>
        <v>542.48344999999995</v>
      </c>
      <c r="I3" s="5">
        <v>0</v>
      </c>
      <c r="J3" s="24">
        <f t="shared" ref="J3:J33" si="0">($A$3/3600)*((F2+F3)/2)</f>
        <v>0.59095416666666667</v>
      </c>
      <c r="K3" s="2">
        <f>($A$3/3600)*(F2/3+F3/3+F4/3)</f>
        <v>0.78268425925925933</v>
      </c>
    </row>
    <row r="4" spans="1:11" x14ac:dyDescent="0.3">
      <c r="A4" s="1">
        <f t="shared" ref="A4:A67" si="1">A3+10</f>
        <v>20</v>
      </c>
      <c r="B4" s="5">
        <v>1259</v>
      </c>
      <c r="C4" s="3">
        <f>_25_3[[#This Row],[Tension '[V']]]/1000</f>
        <v>1.2589999999999999</v>
      </c>
      <c r="D4" s="5">
        <v>419812</v>
      </c>
      <c r="E4" s="15"/>
      <c r="F4" s="3">
        <f>_25_3[[#This Row],[Corriente '[mA']]]/1000</f>
        <v>419.81200000000001</v>
      </c>
      <c r="G4" s="5">
        <v>52810888</v>
      </c>
      <c r="H4" s="4">
        <f>_25_3[[#This Row],[Potencia '[mW']]]/100000</f>
        <v>528.10888</v>
      </c>
      <c r="I4" s="5">
        <v>0</v>
      </c>
      <c r="J4" s="24">
        <f t="shared" si="0"/>
        <v>1.1740263888888889</v>
      </c>
      <c r="K4" s="2">
        <f t="shared" ref="K4:K67" si="2">($A$3/3600)*(F3/3+F4/3+F5/3)</f>
        <v>1.1679731481481483</v>
      </c>
    </row>
    <row r="5" spans="1:11" x14ac:dyDescent="0.3">
      <c r="A5" s="1">
        <f t="shared" si="1"/>
        <v>30</v>
      </c>
      <c r="B5" s="5">
        <v>1247</v>
      </c>
      <c r="C5" s="3">
        <f>_25_3[[#This Row],[Tension '[V']]]/1000</f>
        <v>1.2470000000000001</v>
      </c>
      <c r="D5" s="5">
        <v>416112</v>
      </c>
      <c r="E5" s="15"/>
      <c r="F5" s="3">
        <f>_25_3[[#This Row],[Corriente '[mA']]]/1000</f>
        <v>416.11200000000002</v>
      </c>
      <c r="G5" s="5">
        <v>51935913</v>
      </c>
      <c r="H5" s="4">
        <f>_25_3[[#This Row],[Potencia '[mW']]]/100000</f>
        <v>519.35913000000005</v>
      </c>
      <c r="I5" s="5">
        <v>0</v>
      </c>
      <c r="J5" s="24">
        <f t="shared" si="0"/>
        <v>1.1610055555555556</v>
      </c>
      <c r="K5" s="2">
        <f t="shared" si="2"/>
        <v>1.1565842592592595</v>
      </c>
    </row>
    <row r="6" spans="1:11" x14ac:dyDescent="0.3">
      <c r="A6" s="1">
        <f t="shared" si="1"/>
        <v>40</v>
      </c>
      <c r="B6" s="5">
        <v>1236</v>
      </c>
      <c r="C6" s="3">
        <f>_25_3[[#This Row],[Tension '[V']]]/1000</f>
        <v>1.236</v>
      </c>
      <c r="D6" s="5">
        <v>413187</v>
      </c>
      <c r="E6" s="15"/>
      <c r="F6" s="3">
        <f>_25_3[[#This Row],[Corriente '[mA']]]/1000</f>
        <v>413.18700000000001</v>
      </c>
      <c r="G6" s="5">
        <v>51060940</v>
      </c>
      <c r="H6" s="4">
        <f>_25_3[[#This Row],[Potencia '[mW']]]/100000</f>
        <v>510.60939999999999</v>
      </c>
      <c r="I6" s="5">
        <v>0</v>
      </c>
      <c r="J6" s="24">
        <f t="shared" si="0"/>
        <v>1.1518041666666667</v>
      </c>
      <c r="K6" s="2">
        <f t="shared" si="2"/>
        <v>1.1483435185185185</v>
      </c>
    </row>
    <row r="7" spans="1:11" x14ac:dyDescent="0.3">
      <c r="A7" s="1">
        <f t="shared" si="1"/>
        <v>50</v>
      </c>
      <c r="B7" s="5">
        <v>1229</v>
      </c>
      <c r="C7" s="3">
        <f>_25_3[[#This Row],[Tension '[V']]]/1000</f>
        <v>1.2290000000000001</v>
      </c>
      <c r="D7" s="5">
        <v>410912</v>
      </c>
      <c r="E7" s="15"/>
      <c r="F7" s="3">
        <f>_25_3[[#This Row],[Corriente '[mA']]]/1000</f>
        <v>410.91199999999998</v>
      </c>
      <c r="G7" s="5">
        <v>50498458</v>
      </c>
      <c r="H7" s="4">
        <f>_25_3[[#This Row],[Potencia '[mW']]]/100000</f>
        <v>504.98457999999999</v>
      </c>
      <c r="I7" s="5">
        <v>0</v>
      </c>
      <c r="J7" s="24">
        <f t="shared" si="0"/>
        <v>1.1445819444444445</v>
      </c>
      <c r="K7" s="2">
        <f t="shared" si="2"/>
        <v>1.1420472222222222</v>
      </c>
    </row>
    <row r="8" spans="1:11" x14ac:dyDescent="0.3">
      <c r="A8" s="1">
        <f t="shared" si="1"/>
        <v>60</v>
      </c>
      <c r="B8" s="5">
        <v>1227</v>
      </c>
      <c r="C8" s="3">
        <f>_25_3[[#This Row],[Tension '[V']]]/1000</f>
        <v>1.2270000000000001</v>
      </c>
      <c r="D8" s="5">
        <v>409312</v>
      </c>
      <c r="E8" s="15"/>
      <c r="F8" s="3">
        <f>_25_3[[#This Row],[Corriente '[mA']]]/1000</f>
        <v>409.31200000000001</v>
      </c>
      <c r="G8" s="5">
        <v>50248468</v>
      </c>
      <c r="H8" s="4">
        <f>_25_3[[#This Row],[Potencia '[mW']]]/100000</f>
        <v>502.48468000000003</v>
      </c>
      <c r="I8" s="5">
        <v>0</v>
      </c>
      <c r="J8" s="24">
        <f t="shared" si="0"/>
        <v>1.1392</v>
      </c>
      <c r="K8" s="2">
        <f t="shared" si="2"/>
        <v>1.1367935185185187</v>
      </c>
    </row>
    <row r="9" spans="1:11" x14ac:dyDescent="0.3">
      <c r="A9" s="1">
        <f t="shared" si="1"/>
        <v>70</v>
      </c>
      <c r="B9" s="5">
        <v>1221</v>
      </c>
      <c r="C9" s="3">
        <f>_25_3[[#This Row],[Tension '[V']]]/1000</f>
        <v>1.2210000000000001</v>
      </c>
      <c r="D9" s="5">
        <v>407513</v>
      </c>
      <c r="E9" s="15"/>
      <c r="F9" s="3">
        <f>_25_3[[#This Row],[Corriente '[mA']]]/1000</f>
        <v>407.51299999999998</v>
      </c>
      <c r="G9" s="5">
        <v>49748480</v>
      </c>
      <c r="H9" s="4">
        <f>_25_3[[#This Row],[Potencia '[mW']]]/100000</f>
        <v>497.48480000000001</v>
      </c>
      <c r="I9" s="5">
        <v>0</v>
      </c>
      <c r="J9" s="24">
        <f t="shared" si="0"/>
        <v>1.1344791666666667</v>
      </c>
      <c r="K9" s="2">
        <f t="shared" si="2"/>
        <v>1.1322111111111111</v>
      </c>
    </row>
    <row r="10" spans="1:11" x14ac:dyDescent="0.3">
      <c r="A10" s="1">
        <f t="shared" si="1"/>
        <v>80</v>
      </c>
      <c r="B10" s="5">
        <v>1217</v>
      </c>
      <c r="C10" s="3">
        <f>_25_3[[#This Row],[Tension '[V']]]/1000</f>
        <v>1.2170000000000001</v>
      </c>
      <c r="D10" s="5">
        <v>405963</v>
      </c>
      <c r="E10" s="15"/>
      <c r="F10" s="3">
        <f>_25_3[[#This Row],[Corriente '[mA']]]/1000</f>
        <v>405.96300000000002</v>
      </c>
      <c r="G10" s="5">
        <v>49435992</v>
      </c>
      <c r="H10" s="4">
        <f>_25_3[[#This Row],[Potencia '[mW']]]/100000</f>
        <v>494.35991999999999</v>
      </c>
      <c r="I10" s="5">
        <v>0</v>
      </c>
      <c r="J10" s="24">
        <f t="shared" si="0"/>
        <v>1.1298277777777779</v>
      </c>
      <c r="K10" s="2">
        <f t="shared" si="2"/>
        <v>1.1277212962962961</v>
      </c>
    </row>
    <row r="11" spans="1:11" x14ac:dyDescent="0.3">
      <c r="A11" s="1">
        <f t="shared" si="1"/>
        <v>90</v>
      </c>
      <c r="B11" s="5">
        <v>1212</v>
      </c>
      <c r="C11" s="3">
        <f>_25_3[[#This Row],[Tension '[V']]]/1000</f>
        <v>1.212</v>
      </c>
      <c r="D11" s="5">
        <v>404463</v>
      </c>
      <c r="E11" s="15"/>
      <c r="F11" s="3">
        <f>_25_3[[#This Row],[Corriente '[mA']]]/1000</f>
        <v>404.46300000000002</v>
      </c>
      <c r="G11" s="5">
        <v>49061001</v>
      </c>
      <c r="H11" s="4">
        <f>_25_3[[#This Row],[Potencia '[mW']]]/100000</f>
        <v>490.61000999999999</v>
      </c>
      <c r="I11" s="5">
        <v>0</v>
      </c>
      <c r="J11" s="24">
        <f t="shared" si="0"/>
        <v>1.1255916666666668</v>
      </c>
      <c r="K11" s="2">
        <f t="shared" si="2"/>
        <v>1.1236472222222225</v>
      </c>
    </row>
    <row r="12" spans="1:11" x14ac:dyDescent="0.3">
      <c r="A12" s="1">
        <f t="shared" si="1"/>
        <v>100</v>
      </c>
      <c r="B12" s="5">
        <v>1209</v>
      </c>
      <c r="C12" s="3">
        <f>_25_3[[#This Row],[Tension '[V']]]/1000</f>
        <v>1.2090000000000001</v>
      </c>
      <c r="D12" s="5">
        <v>403113</v>
      </c>
      <c r="E12" s="15"/>
      <c r="F12" s="3">
        <f>_25_3[[#This Row],[Corriente '[mA']]]/1000</f>
        <v>403.113</v>
      </c>
      <c r="G12" s="5">
        <v>48748510</v>
      </c>
      <c r="H12" s="4">
        <f>_25_3[[#This Row],[Potencia '[mW']]]/100000</f>
        <v>487.48509999999999</v>
      </c>
      <c r="I12" s="5">
        <v>0</v>
      </c>
      <c r="J12" s="24">
        <f t="shared" si="0"/>
        <v>1.1216333333333335</v>
      </c>
      <c r="K12" s="2">
        <f t="shared" si="2"/>
        <v>1.1197814814814817</v>
      </c>
    </row>
    <row r="13" spans="1:11" x14ac:dyDescent="0.3">
      <c r="A13" s="1">
        <f t="shared" si="1"/>
        <v>110</v>
      </c>
      <c r="B13" s="5">
        <v>1204</v>
      </c>
      <c r="C13" s="3">
        <f>_25_3[[#This Row],[Tension '[V']]]/1000</f>
        <v>1.204</v>
      </c>
      <c r="D13" s="5">
        <v>401788</v>
      </c>
      <c r="E13" s="15"/>
      <c r="F13" s="3">
        <f>_25_3[[#This Row],[Corriente '[mA']]]/1000</f>
        <v>401.78800000000001</v>
      </c>
      <c r="G13" s="5">
        <v>48311026</v>
      </c>
      <c r="H13" s="4">
        <f>_25_3[[#This Row],[Potencia '[mW']]]/100000</f>
        <v>483.11025999999998</v>
      </c>
      <c r="I13" s="5">
        <v>0</v>
      </c>
      <c r="J13" s="24">
        <f t="shared" si="0"/>
        <v>1.1179180555555557</v>
      </c>
      <c r="K13" s="2">
        <f t="shared" si="2"/>
        <v>1.1161703703703703</v>
      </c>
    </row>
    <row r="14" spans="1:11" x14ac:dyDescent="0.3">
      <c r="A14" s="1">
        <f t="shared" si="1"/>
        <v>120</v>
      </c>
      <c r="B14" s="5">
        <v>1200</v>
      </c>
      <c r="C14" s="3">
        <f>_25_3[[#This Row],[Tension '[V']]]/1000</f>
        <v>1.2</v>
      </c>
      <c r="D14" s="5">
        <v>400563</v>
      </c>
      <c r="E14" s="15"/>
      <c r="F14" s="3">
        <f>_25_3[[#This Row],[Corriente '[mA']]]/1000</f>
        <v>400.56299999999999</v>
      </c>
      <c r="G14" s="5">
        <v>47998535</v>
      </c>
      <c r="H14" s="4">
        <f>_25_3[[#This Row],[Potencia '[mW']]]/100000</f>
        <v>479.98534999999998</v>
      </c>
      <c r="I14" s="5">
        <v>0</v>
      </c>
      <c r="J14" s="24">
        <f t="shared" si="0"/>
        <v>1.1143763888888889</v>
      </c>
      <c r="K14" s="2">
        <f t="shared" si="2"/>
        <v>1.1127212962962962</v>
      </c>
    </row>
    <row r="15" spans="1:11" x14ac:dyDescent="0.3">
      <c r="A15" s="1">
        <f t="shared" si="1"/>
        <v>130</v>
      </c>
      <c r="B15" s="5">
        <v>1197</v>
      </c>
      <c r="C15" s="3">
        <f>_25_3[[#This Row],[Tension '[V']]]/1000</f>
        <v>1.1970000000000001</v>
      </c>
      <c r="D15" s="5">
        <v>399388</v>
      </c>
      <c r="E15" s="15"/>
      <c r="F15" s="3">
        <f>_25_3[[#This Row],[Corriente '[mA']]]/1000</f>
        <v>399.38799999999998</v>
      </c>
      <c r="G15" s="5">
        <v>47811041</v>
      </c>
      <c r="H15" s="4">
        <f>_25_3[[#This Row],[Potencia '[mW']]]/100000</f>
        <v>478.11041</v>
      </c>
      <c r="I15" s="5">
        <v>0</v>
      </c>
      <c r="J15" s="24">
        <f t="shared" si="0"/>
        <v>1.1110430555555557</v>
      </c>
      <c r="K15" s="2">
        <f t="shared" si="2"/>
        <v>1.1094574074074075</v>
      </c>
    </row>
    <row r="16" spans="1:11" x14ac:dyDescent="0.3">
      <c r="A16" s="1">
        <f t="shared" si="1"/>
        <v>140</v>
      </c>
      <c r="B16" s="5">
        <v>1194</v>
      </c>
      <c r="C16" s="3">
        <f>_25_3[[#This Row],[Tension '[V']]]/1000</f>
        <v>1.194</v>
      </c>
      <c r="D16" s="5">
        <v>398263</v>
      </c>
      <c r="E16" s="15"/>
      <c r="F16" s="3">
        <f>_25_3[[#This Row],[Corriente '[mA']]]/1000</f>
        <v>398.26299999999998</v>
      </c>
      <c r="G16" s="5">
        <v>47498550</v>
      </c>
      <c r="H16" s="4">
        <f>_25_3[[#This Row],[Potencia '[mW']]]/100000</f>
        <v>474.9855</v>
      </c>
      <c r="I16" s="5">
        <v>0</v>
      </c>
      <c r="J16" s="24">
        <f t="shared" si="0"/>
        <v>1.107848611111111</v>
      </c>
      <c r="K16" s="2">
        <f t="shared" si="2"/>
        <v>1.1064018518518519</v>
      </c>
    </row>
    <row r="17" spans="1:11" x14ac:dyDescent="0.3">
      <c r="A17" s="1">
        <f t="shared" si="1"/>
        <v>150</v>
      </c>
      <c r="B17" s="5">
        <v>1190</v>
      </c>
      <c r="C17" s="3">
        <f>_25_3[[#This Row],[Tension '[V']]]/1000</f>
        <v>1.19</v>
      </c>
      <c r="D17" s="5">
        <v>397263</v>
      </c>
      <c r="E17" s="15"/>
      <c r="F17" s="3">
        <f>_25_3[[#This Row],[Corriente '[mA']]]/1000</f>
        <v>397.26299999999998</v>
      </c>
      <c r="G17" s="5">
        <v>47311056</v>
      </c>
      <c r="H17" s="4">
        <f>_25_3[[#This Row],[Potencia '[mW']]]/100000</f>
        <v>473.11056000000002</v>
      </c>
      <c r="I17" s="5">
        <v>0</v>
      </c>
      <c r="J17" s="24">
        <f t="shared" si="0"/>
        <v>1.1048972222222222</v>
      </c>
      <c r="K17" s="2">
        <f t="shared" si="2"/>
        <v>1.1034620370370372</v>
      </c>
    </row>
    <row r="18" spans="1:11" x14ac:dyDescent="0.3">
      <c r="A18" s="1">
        <f t="shared" si="1"/>
        <v>160</v>
      </c>
      <c r="B18" s="5">
        <v>1187</v>
      </c>
      <c r="C18" s="3">
        <f>_25_3[[#This Row],[Tension '[V']]]/1000</f>
        <v>1.1870000000000001</v>
      </c>
      <c r="D18" s="5">
        <v>396213</v>
      </c>
      <c r="E18" s="15"/>
      <c r="F18" s="3">
        <f>_25_3[[#This Row],[Corriente '[mA']]]/1000</f>
        <v>396.21300000000002</v>
      </c>
      <c r="G18" s="5">
        <v>46998565</v>
      </c>
      <c r="H18" s="4">
        <f>_25_3[[#This Row],[Potencia '[mW']]]/100000</f>
        <v>469.98565000000002</v>
      </c>
      <c r="I18" s="5">
        <v>0</v>
      </c>
      <c r="J18" s="24">
        <f t="shared" si="0"/>
        <v>1.10205</v>
      </c>
      <c r="K18" s="2">
        <f t="shared" si="2"/>
        <v>1.1006379629629628</v>
      </c>
    </row>
    <row r="19" spans="1:11" x14ac:dyDescent="0.3">
      <c r="A19" s="1">
        <f t="shared" si="1"/>
        <v>170</v>
      </c>
      <c r="B19" s="5">
        <v>1184</v>
      </c>
      <c r="C19" s="3">
        <f>_25_3[[#This Row],[Tension '[V']]]/1000</f>
        <v>1.1839999999999999</v>
      </c>
      <c r="D19" s="5">
        <v>395213</v>
      </c>
      <c r="E19" s="16">
        <f t="shared" ref="E19" si="3">(C21-C20)/(F18/1000)</f>
        <v>3.0286739708187287E-2</v>
      </c>
      <c r="F19" s="3">
        <f>_25_3[[#This Row],[Corriente '[mA']]]/1000</f>
        <v>395.21300000000002</v>
      </c>
      <c r="G19" s="5">
        <v>46811071</v>
      </c>
      <c r="H19" s="4">
        <f>_25_3[[#This Row],[Potencia '[mW']]]/100000</f>
        <v>468.11070999999998</v>
      </c>
      <c r="I19" s="5">
        <v>1</v>
      </c>
      <c r="J19" s="24">
        <f t="shared" si="0"/>
        <v>1.099202777777778</v>
      </c>
      <c r="K19" s="2">
        <f t="shared" si="2"/>
        <v>0.73280185185185187</v>
      </c>
    </row>
    <row r="20" spans="1:11" x14ac:dyDescent="0.3">
      <c r="A20" s="1">
        <f t="shared" si="1"/>
        <v>180</v>
      </c>
      <c r="B20" s="5">
        <v>1442</v>
      </c>
      <c r="C20" s="3">
        <f>_25_3[[#This Row],[Tension '[V']]]/1000</f>
        <v>1.4419999999999999</v>
      </c>
      <c r="D20" s="5">
        <v>0</v>
      </c>
      <c r="E20" s="15"/>
      <c r="F20" s="3">
        <f>_25_3[[#This Row],[Corriente '[mA']]]/1000</f>
        <v>0</v>
      </c>
      <c r="G20" s="5">
        <v>0</v>
      </c>
      <c r="H20" s="4">
        <f>_25_3[[#This Row],[Potencia '[mW']]]/100000</f>
        <v>0</v>
      </c>
      <c r="I20" s="5">
        <v>1</v>
      </c>
      <c r="J20" s="24">
        <f t="shared" si="0"/>
        <v>0.54890694444444454</v>
      </c>
      <c r="K20" s="2">
        <f t="shared" si="2"/>
        <v>0.36593796296296305</v>
      </c>
    </row>
    <row r="21" spans="1:11" x14ac:dyDescent="0.3">
      <c r="A21" s="1">
        <f t="shared" si="1"/>
        <v>190</v>
      </c>
      <c r="B21" s="5">
        <v>1454</v>
      </c>
      <c r="C21" s="3">
        <f>_25_3[[#This Row],[Tension '[V']]]/1000</f>
        <v>1.454</v>
      </c>
      <c r="D21" s="5">
        <v>0</v>
      </c>
      <c r="E21" s="15"/>
      <c r="F21" s="3">
        <f>_25_3[[#This Row],[Corriente '[mA']]]/1000</f>
        <v>0</v>
      </c>
      <c r="G21" s="5">
        <v>0</v>
      </c>
      <c r="H21" s="4">
        <f>_25_3[[#This Row],[Potencia '[mW']]]/100000</f>
        <v>0</v>
      </c>
      <c r="I21" s="5">
        <v>1</v>
      </c>
      <c r="J21" s="24">
        <f t="shared" si="0"/>
        <v>0</v>
      </c>
      <c r="K21" s="2">
        <f t="shared" si="2"/>
        <v>0</v>
      </c>
    </row>
    <row r="22" spans="1:11" x14ac:dyDescent="0.3">
      <c r="A22" s="1">
        <f t="shared" si="1"/>
        <v>200</v>
      </c>
      <c r="B22" s="5">
        <v>1460</v>
      </c>
      <c r="C22" s="3">
        <f>_25_3[[#This Row],[Tension '[V']]]/1000</f>
        <v>1.46</v>
      </c>
      <c r="D22" s="5">
        <v>0</v>
      </c>
      <c r="E22" s="15"/>
      <c r="F22" s="3">
        <f>_25_3[[#This Row],[Corriente '[mA']]]/1000</f>
        <v>0</v>
      </c>
      <c r="G22" s="5">
        <v>0</v>
      </c>
      <c r="H22" s="4">
        <f>_25_3[[#This Row],[Potencia '[mW']]]/100000</f>
        <v>0</v>
      </c>
      <c r="I22" s="5">
        <v>1</v>
      </c>
      <c r="J22" s="24">
        <f t="shared" si="0"/>
        <v>0</v>
      </c>
      <c r="K22" s="2">
        <f t="shared" si="2"/>
        <v>0</v>
      </c>
    </row>
    <row r="23" spans="1:11" x14ac:dyDescent="0.3">
      <c r="A23" s="1">
        <f t="shared" si="1"/>
        <v>210</v>
      </c>
      <c r="B23" s="5">
        <v>1465</v>
      </c>
      <c r="C23" s="3">
        <f>_25_3[[#This Row],[Tension '[V']]]/1000</f>
        <v>1.4650000000000001</v>
      </c>
      <c r="D23" s="5">
        <v>0</v>
      </c>
      <c r="E23" s="15"/>
      <c r="F23" s="3">
        <f>_25_3[[#This Row],[Corriente '[mA']]]/1000</f>
        <v>0</v>
      </c>
      <c r="G23" s="5">
        <v>0</v>
      </c>
      <c r="H23" s="4">
        <f>_25_3[[#This Row],[Potencia '[mW']]]/100000</f>
        <v>0</v>
      </c>
      <c r="I23" s="5">
        <v>1</v>
      </c>
      <c r="J23" s="24">
        <f t="shared" si="0"/>
        <v>0</v>
      </c>
      <c r="K23" s="2">
        <f t="shared" si="2"/>
        <v>0</v>
      </c>
    </row>
    <row r="24" spans="1:11" x14ac:dyDescent="0.3">
      <c r="A24" s="1">
        <f t="shared" si="1"/>
        <v>220</v>
      </c>
      <c r="B24" s="5">
        <v>1470</v>
      </c>
      <c r="C24" s="3">
        <f>_25_3[[#This Row],[Tension '[V']]]/1000</f>
        <v>1.47</v>
      </c>
      <c r="D24" s="5">
        <v>0</v>
      </c>
      <c r="E24" s="15"/>
      <c r="F24" s="3">
        <f>_25_3[[#This Row],[Corriente '[mA']]]/1000</f>
        <v>0</v>
      </c>
      <c r="G24" s="5">
        <v>0</v>
      </c>
      <c r="H24" s="4">
        <f>_25_3[[#This Row],[Potencia '[mW']]]/100000</f>
        <v>0</v>
      </c>
      <c r="I24" s="5">
        <v>1</v>
      </c>
      <c r="J24" s="24">
        <f t="shared" si="0"/>
        <v>0</v>
      </c>
      <c r="K24" s="2">
        <f t="shared" si="2"/>
        <v>0</v>
      </c>
    </row>
    <row r="25" spans="1:11" x14ac:dyDescent="0.3">
      <c r="A25" s="1">
        <f t="shared" si="1"/>
        <v>230</v>
      </c>
      <c r="B25" s="5">
        <v>1474</v>
      </c>
      <c r="C25" s="3">
        <f>_25_3[[#This Row],[Tension '[V']]]/1000</f>
        <v>1.474</v>
      </c>
      <c r="D25" s="5">
        <v>0</v>
      </c>
      <c r="E25" s="15"/>
      <c r="F25" s="3">
        <f>_25_3[[#This Row],[Corriente '[mA']]]/1000</f>
        <v>0</v>
      </c>
      <c r="G25" s="5">
        <v>0</v>
      </c>
      <c r="H25" s="4">
        <f>_25_3[[#This Row],[Potencia '[mW']]]/100000</f>
        <v>0</v>
      </c>
      <c r="I25" s="5">
        <v>0</v>
      </c>
      <c r="J25" s="24">
        <f t="shared" si="0"/>
        <v>0</v>
      </c>
      <c r="K25" s="2">
        <f t="shared" si="2"/>
        <v>0.37246574074074068</v>
      </c>
    </row>
    <row r="26" spans="1:11" x14ac:dyDescent="0.3">
      <c r="A26" s="1">
        <f t="shared" si="1"/>
        <v>240</v>
      </c>
      <c r="B26" s="5">
        <v>1206</v>
      </c>
      <c r="C26" s="3">
        <f>_25_3[[#This Row],[Tension '[V']]]/1000</f>
        <v>1.206</v>
      </c>
      <c r="D26" s="5">
        <v>402263</v>
      </c>
      <c r="E26" s="16">
        <f>(C25-C26)/(F26/1000)</f>
        <v>0.66623079925322493</v>
      </c>
      <c r="F26" s="3">
        <f>_25_3[[#This Row],[Corriente '[mA']]]/1000</f>
        <v>402.26299999999998</v>
      </c>
      <c r="G26" s="5">
        <v>48561016</v>
      </c>
      <c r="H26" s="4">
        <f>_25_3[[#This Row],[Potencia '[mW']]]/100000</f>
        <v>485.61016000000001</v>
      </c>
      <c r="I26" s="5">
        <v>0</v>
      </c>
      <c r="J26" s="24">
        <f t="shared" si="0"/>
        <v>0.55869861111111108</v>
      </c>
      <c r="K26" s="2">
        <f t="shared" si="2"/>
        <v>0.74182962962962973</v>
      </c>
    </row>
    <row r="27" spans="1:11" x14ac:dyDescent="0.3">
      <c r="A27" s="1">
        <f t="shared" si="1"/>
        <v>250</v>
      </c>
      <c r="B27" s="5">
        <v>1196</v>
      </c>
      <c r="C27" s="3">
        <f>_25_3[[#This Row],[Tension '[V']]]/1000</f>
        <v>1.196</v>
      </c>
      <c r="D27" s="5">
        <v>398913</v>
      </c>
      <c r="E27" s="15"/>
      <c r="F27" s="3">
        <f>_25_3[[#This Row],[Corriente '[mA']]]/1000</f>
        <v>398.91300000000001</v>
      </c>
      <c r="G27" s="5">
        <v>47748541</v>
      </c>
      <c r="H27" s="4">
        <f>_25_3[[#This Row],[Potencia '[mW']]]/100000</f>
        <v>477.48541</v>
      </c>
      <c r="I27" s="5">
        <v>0</v>
      </c>
      <c r="J27" s="24">
        <f t="shared" si="0"/>
        <v>1.1127444444444443</v>
      </c>
      <c r="K27" s="2">
        <f t="shared" si="2"/>
        <v>1.1090870370370371</v>
      </c>
    </row>
    <row r="28" spans="1:11" x14ac:dyDescent="0.3">
      <c r="A28" s="1">
        <f t="shared" si="1"/>
        <v>260</v>
      </c>
      <c r="B28" s="5">
        <v>1189</v>
      </c>
      <c r="C28" s="3">
        <f>_25_3[[#This Row],[Tension '[V']]]/1000</f>
        <v>1.1890000000000001</v>
      </c>
      <c r="D28" s="5">
        <v>396638</v>
      </c>
      <c r="E28" s="15"/>
      <c r="F28" s="3">
        <f>_25_3[[#This Row],[Corriente '[mA']]]/1000</f>
        <v>396.63799999999998</v>
      </c>
      <c r="G28" s="5">
        <v>47123562</v>
      </c>
      <c r="H28" s="4">
        <f>_25_3[[#This Row],[Potencia '[mW']]]/100000</f>
        <v>471.23561999999998</v>
      </c>
      <c r="I28" s="5">
        <v>0</v>
      </c>
      <c r="J28" s="24">
        <f t="shared" si="0"/>
        <v>1.1049319444444443</v>
      </c>
      <c r="K28" s="2">
        <f t="shared" si="2"/>
        <v>1.1022583333333333</v>
      </c>
    </row>
    <row r="29" spans="1:11" x14ac:dyDescent="0.3">
      <c r="A29" s="1">
        <f t="shared" si="1"/>
        <v>270</v>
      </c>
      <c r="B29" s="5">
        <v>1184</v>
      </c>
      <c r="C29" s="3">
        <f>_25_3[[#This Row],[Tension '[V']]]/1000</f>
        <v>1.1839999999999999</v>
      </c>
      <c r="D29" s="5">
        <v>394888</v>
      </c>
      <c r="E29" s="15"/>
      <c r="F29" s="3">
        <f>_25_3[[#This Row],[Corriente '[mA']]]/1000</f>
        <v>394.88799999999998</v>
      </c>
      <c r="G29" s="5">
        <v>46686074</v>
      </c>
      <c r="H29" s="4">
        <f>_25_3[[#This Row],[Potencia '[mW']]]/100000</f>
        <v>466.86074000000002</v>
      </c>
      <c r="I29" s="5">
        <v>0</v>
      </c>
      <c r="J29" s="24">
        <f t="shared" si="0"/>
        <v>1.0993416666666667</v>
      </c>
      <c r="K29" s="2">
        <f t="shared" si="2"/>
        <v>1.0971888888888888</v>
      </c>
    </row>
    <row r="30" spans="1:11" x14ac:dyDescent="0.3">
      <c r="A30" s="1">
        <f t="shared" si="1"/>
        <v>280</v>
      </c>
      <c r="B30" s="5">
        <v>1179</v>
      </c>
      <c r="C30" s="3">
        <f>_25_3[[#This Row],[Tension '[V']]]/1000</f>
        <v>1.179</v>
      </c>
      <c r="D30" s="5">
        <v>393438</v>
      </c>
      <c r="E30" s="15"/>
      <c r="F30" s="3">
        <f>_25_3[[#This Row],[Corriente '[mA']]]/1000</f>
        <v>393.43799999999999</v>
      </c>
      <c r="G30" s="5">
        <v>46373583</v>
      </c>
      <c r="H30" s="4">
        <f>_25_3[[#This Row],[Potencia '[mW']]]/100000</f>
        <v>463.73583000000002</v>
      </c>
      <c r="I30" s="5">
        <v>0</v>
      </c>
      <c r="J30" s="24">
        <f t="shared" si="0"/>
        <v>1.0948972222222222</v>
      </c>
      <c r="K30" s="2">
        <f t="shared" si="2"/>
        <v>1.092999074074074</v>
      </c>
    </row>
    <row r="31" spans="1:11" x14ac:dyDescent="0.3">
      <c r="A31" s="1">
        <f t="shared" si="1"/>
        <v>290</v>
      </c>
      <c r="B31" s="5">
        <v>1175</v>
      </c>
      <c r="C31" s="3">
        <f>_25_3[[#This Row],[Tension '[V']]]/1000</f>
        <v>1.175</v>
      </c>
      <c r="D31" s="5">
        <v>392113</v>
      </c>
      <c r="E31" s="15"/>
      <c r="F31" s="3">
        <f>_25_3[[#This Row],[Corriente '[mA']]]/1000</f>
        <v>392.113</v>
      </c>
      <c r="G31" s="5">
        <v>46061093</v>
      </c>
      <c r="H31" s="4">
        <f>_25_3[[#This Row],[Potencia '[mW']]]/100000</f>
        <v>460.61093</v>
      </c>
      <c r="I31" s="5">
        <v>0</v>
      </c>
      <c r="J31" s="24">
        <f t="shared" si="0"/>
        <v>1.0910430555555555</v>
      </c>
      <c r="K31" s="2">
        <f t="shared" si="2"/>
        <v>1.089387962962963</v>
      </c>
    </row>
    <row r="32" spans="1:11" x14ac:dyDescent="0.3">
      <c r="A32" s="1">
        <f t="shared" si="1"/>
        <v>300</v>
      </c>
      <c r="B32" s="5">
        <v>1172</v>
      </c>
      <c r="C32" s="3">
        <f>_25_3[[#This Row],[Tension '[V']]]/1000</f>
        <v>1.1719999999999999</v>
      </c>
      <c r="D32" s="5">
        <v>390988</v>
      </c>
      <c r="E32" s="15"/>
      <c r="F32" s="3">
        <f>_25_3[[#This Row],[Corriente '[mA']]]/1000</f>
        <v>390.988</v>
      </c>
      <c r="G32" s="5">
        <v>45811102</v>
      </c>
      <c r="H32" s="4">
        <f>_25_3[[#This Row],[Potencia '[mW']]]/100000</f>
        <v>458.11102</v>
      </c>
      <c r="I32" s="5">
        <v>0</v>
      </c>
      <c r="J32" s="24">
        <f t="shared" si="0"/>
        <v>1.0876402777777778</v>
      </c>
      <c r="K32" s="2">
        <f t="shared" si="2"/>
        <v>1.0861009259259258</v>
      </c>
    </row>
    <row r="33" spans="1:11" x14ac:dyDescent="0.3">
      <c r="A33" s="1">
        <f t="shared" si="1"/>
        <v>310</v>
      </c>
      <c r="B33" s="5">
        <v>1169</v>
      </c>
      <c r="C33" s="3">
        <f>_25_3[[#This Row],[Tension '[V']]]/1000</f>
        <v>1.169</v>
      </c>
      <c r="D33" s="5">
        <v>389888</v>
      </c>
      <c r="E33" s="15"/>
      <c r="F33" s="3">
        <f>_25_3[[#This Row],[Corriente '[mA']]]/1000</f>
        <v>389.88799999999998</v>
      </c>
      <c r="G33" s="5">
        <v>45561108</v>
      </c>
      <c r="H33" s="4">
        <f>_25_3[[#This Row],[Potencia '[mW']]]/100000</f>
        <v>455.61108000000002</v>
      </c>
      <c r="I33" s="5">
        <v>0</v>
      </c>
      <c r="J33" s="24">
        <f t="shared" si="0"/>
        <v>1.0845499999999999</v>
      </c>
      <c r="K33" s="2">
        <f t="shared" si="2"/>
        <v>1.0831379629629629</v>
      </c>
    </row>
    <row r="34" spans="1:11" x14ac:dyDescent="0.3">
      <c r="A34" s="1">
        <f t="shared" si="1"/>
        <v>320</v>
      </c>
      <c r="B34" s="5">
        <v>1166</v>
      </c>
      <c r="C34" s="3">
        <f>_25_3[[#This Row],[Tension '[V']]]/1000</f>
        <v>1.1659999999999999</v>
      </c>
      <c r="D34" s="5">
        <v>388913</v>
      </c>
      <c r="E34" s="15"/>
      <c r="F34" s="3">
        <f>_25_3[[#This Row],[Corriente '[mA']]]/1000</f>
        <v>388.91300000000001</v>
      </c>
      <c r="G34" s="5">
        <v>45311117</v>
      </c>
      <c r="H34" s="4">
        <f>_25_3[[#This Row],[Potencia '[mW']]]/100000</f>
        <v>453.11117000000002</v>
      </c>
      <c r="I34" s="5">
        <v>0</v>
      </c>
      <c r="J34" s="24">
        <f t="shared" ref="J34:J65" si="4">($A$3/3600)*((F33+F34)/2)</f>
        <v>1.0816680555555556</v>
      </c>
      <c r="K34" s="2">
        <f t="shared" si="2"/>
        <v>1.0803833333333333</v>
      </c>
    </row>
    <row r="35" spans="1:11" x14ac:dyDescent="0.3">
      <c r="A35" s="1">
        <f t="shared" si="1"/>
        <v>330</v>
      </c>
      <c r="B35" s="5">
        <v>1162</v>
      </c>
      <c r="C35" s="3">
        <f>_25_3[[#This Row],[Tension '[V']]]/1000</f>
        <v>1.1619999999999999</v>
      </c>
      <c r="D35" s="5">
        <v>388013</v>
      </c>
      <c r="E35" s="15"/>
      <c r="F35" s="3">
        <f>_25_3[[#This Row],[Corriente '[mA']]]/1000</f>
        <v>388.01299999999998</v>
      </c>
      <c r="G35" s="5">
        <v>45061123</v>
      </c>
      <c r="H35" s="4">
        <f>_25_3[[#This Row],[Potencia '[mW']]]/100000</f>
        <v>450.61122999999998</v>
      </c>
      <c r="I35" s="5">
        <v>0</v>
      </c>
      <c r="J35" s="24">
        <f t="shared" si="4"/>
        <v>1.0790638888888888</v>
      </c>
      <c r="K35" s="2">
        <f t="shared" si="2"/>
        <v>1.0778370370370369</v>
      </c>
    </row>
    <row r="36" spans="1:11" x14ac:dyDescent="0.3">
      <c r="A36" s="1">
        <f t="shared" si="1"/>
        <v>340</v>
      </c>
      <c r="B36" s="5">
        <v>1160</v>
      </c>
      <c r="C36" s="3">
        <f>_25_3[[#This Row],[Tension '[V']]]/1000</f>
        <v>1.1599999999999999</v>
      </c>
      <c r="D36" s="5">
        <v>387138</v>
      </c>
      <c r="E36" s="15"/>
      <c r="F36" s="3">
        <f>_25_3[[#This Row],[Corriente '[mA']]]/1000</f>
        <v>387.13799999999998</v>
      </c>
      <c r="G36" s="5">
        <v>44936129</v>
      </c>
      <c r="H36" s="4">
        <f>_25_3[[#This Row],[Potencia '[mW']]]/100000</f>
        <v>449.36129</v>
      </c>
      <c r="I36" s="5">
        <v>0</v>
      </c>
      <c r="J36" s="24">
        <f t="shared" si="4"/>
        <v>1.076598611111111</v>
      </c>
      <c r="K36" s="2">
        <f t="shared" si="2"/>
        <v>1.0754064814814812</v>
      </c>
    </row>
    <row r="37" spans="1:11" x14ac:dyDescent="0.3">
      <c r="A37" s="1">
        <f t="shared" si="1"/>
        <v>350</v>
      </c>
      <c r="B37" s="5">
        <v>1157</v>
      </c>
      <c r="C37" s="3">
        <f>_25_3[[#This Row],[Tension '[V']]]/1000</f>
        <v>1.157</v>
      </c>
      <c r="D37" s="5">
        <v>386288</v>
      </c>
      <c r="E37" s="15"/>
      <c r="F37" s="3">
        <f>_25_3[[#This Row],[Corriente '[mA']]]/1000</f>
        <v>386.28800000000001</v>
      </c>
      <c r="G37" s="5">
        <v>44748632</v>
      </c>
      <c r="H37" s="4">
        <f>_25_3[[#This Row],[Potencia '[mW']]]/100000</f>
        <v>447.48631999999998</v>
      </c>
      <c r="I37" s="5">
        <v>0</v>
      </c>
      <c r="J37" s="24">
        <f t="shared" si="4"/>
        <v>1.0742027777777776</v>
      </c>
      <c r="K37" s="2">
        <f t="shared" si="2"/>
        <v>1.0730685185185185</v>
      </c>
    </row>
    <row r="38" spans="1:11" x14ac:dyDescent="0.3">
      <c r="A38" s="1">
        <f t="shared" si="1"/>
        <v>360</v>
      </c>
      <c r="B38" s="5">
        <v>1155</v>
      </c>
      <c r="C38" s="3">
        <f>_25_3[[#This Row],[Tension '[V']]]/1000</f>
        <v>1.155</v>
      </c>
      <c r="D38" s="5">
        <v>385488</v>
      </c>
      <c r="E38" s="15"/>
      <c r="F38" s="3">
        <f>_25_3[[#This Row],[Corriente '[mA']]]/1000</f>
        <v>385.488</v>
      </c>
      <c r="G38" s="5">
        <v>44561138</v>
      </c>
      <c r="H38" s="4">
        <f>_25_3[[#This Row],[Potencia '[mW']]]/100000</f>
        <v>445.61138</v>
      </c>
      <c r="I38" s="5">
        <v>0</v>
      </c>
      <c r="J38" s="24">
        <f t="shared" si="4"/>
        <v>1.0719111111111113</v>
      </c>
      <c r="K38" s="2">
        <f t="shared" si="2"/>
        <v>1.0707768518518519</v>
      </c>
    </row>
    <row r="39" spans="1:11" x14ac:dyDescent="0.3">
      <c r="A39" s="1">
        <f t="shared" si="1"/>
        <v>370</v>
      </c>
      <c r="B39" s="5">
        <v>1154</v>
      </c>
      <c r="C39" s="3">
        <f>_25_3[[#This Row],[Tension '[V']]]/1000</f>
        <v>1.1539999999999999</v>
      </c>
      <c r="D39" s="5">
        <v>384663</v>
      </c>
      <c r="E39" s="15"/>
      <c r="F39" s="3">
        <f>_25_3[[#This Row],[Corriente '[mA']]]/1000</f>
        <v>384.66300000000001</v>
      </c>
      <c r="G39" s="5">
        <v>44311148</v>
      </c>
      <c r="H39" s="4">
        <f>_25_3[[#This Row],[Potencia '[mW']]]/100000</f>
        <v>443.11147999999997</v>
      </c>
      <c r="I39" s="5">
        <v>0</v>
      </c>
      <c r="J39" s="24">
        <f t="shared" si="4"/>
        <v>1.0696541666666668</v>
      </c>
      <c r="K39" s="2">
        <f t="shared" si="2"/>
        <v>1.0685777777777778</v>
      </c>
    </row>
    <row r="40" spans="1:11" x14ac:dyDescent="0.3">
      <c r="A40" s="1">
        <f t="shared" si="1"/>
        <v>380</v>
      </c>
      <c r="B40" s="5">
        <v>1147</v>
      </c>
      <c r="C40" s="3">
        <f>_25_3[[#This Row],[Tension '[V']]]/1000</f>
        <v>1.147</v>
      </c>
      <c r="D40" s="5">
        <v>383913</v>
      </c>
      <c r="E40" s="15"/>
      <c r="F40" s="3">
        <f>_25_3[[#This Row],[Corriente '[mA']]]/1000</f>
        <v>383.91300000000001</v>
      </c>
      <c r="G40" s="5">
        <v>44061154</v>
      </c>
      <c r="H40" s="4">
        <f>_25_3[[#This Row],[Potencia '[mW']]]/100000</f>
        <v>440.61153999999999</v>
      </c>
      <c r="I40" s="5">
        <v>0</v>
      </c>
      <c r="J40" s="24">
        <f t="shared" si="4"/>
        <v>1.0674666666666668</v>
      </c>
      <c r="K40" s="2">
        <f t="shared" si="2"/>
        <v>1.0664250000000002</v>
      </c>
    </row>
    <row r="41" spans="1:11" x14ac:dyDescent="0.3">
      <c r="A41" s="1">
        <f t="shared" si="1"/>
        <v>390</v>
      </c>
      <c r="B41" s="5">
        <v>1146</v>
      </c>
      <c r="C41" s="3">
        <f>_25_3[[#This Row],[Tension '[V']]]/1000</f>
        <v>1.1459999999999999</v>
      </c>
      <c r="D41" s="5">
        <v>383163</v>
      </c>
      <c r="E41" s="15"/>
      <c r="F41" s="3">
        <f>_25_3[[#This Row],[Corriente '[mA']]]/1000</f>
        <v>383.16300000000001</v>
      </c>
      <c r="G41" s="5">
        <v>43936160</v>
      </c>
      <c r="H41" s="4">
        <f>_25_3[[#This Row],[Potencia '[mW']]]/100000</f>
        <v>439.36160000000001</v>
      </c>
      <c r="I41" s="5">
        <v>0</v>
      </c>
      <c r="J41" s="24">
        <f t="shared" si="4"/>
        <v>1.0653833333333333</v>
      </c>
      <c r="K41" s="2">
        <f t="shared" si="2"/>
        <v>1.0644342592592593</v>
      </c>
    </row>
    <row r="42" spans="1:11" x14ac:dyDescent="0.3">
      <c r="A42" s="1">
        <f t="shared" si="1"/>
        <v>400</v>
      </c>
      <c r="B42" s="5">
        <v>1144</v>
      </c>
      <c r="C42" s="3">
        <f>_25_3[[#This Row],[Tension '[V']]]/1000</f>
        <v>1.1439999999999999</v>
      </c>
      <c r="D42" s="5">
        <v>382513</v>
      </c>
      <c r="E42" s="15"/>
      <c r="F42" s="3">
        <f>_25_3[[#This Row],[Corriente '[mA']]]/1000</f>
        <v>382.51299999999998</v>
      </c>
      <c r="G42" s="5">
        <v>43748663</v>
      </c>
      <c r="H42" s="4">
        <f>_25_3[[#This Row],[Potencia '[mW']]]/100000</f>
        <v>437.48662999999999</v>
      </c>
      <c r="I42" s="5">
        <v>0</v>
      </c>
      <c r="J42" s="24">
        <f t="shared" si="4"/>
        <v>1.0634388888888888</v>
      </c>
      <c r="K42" s="2">
        <f t="shared" si="2"/>
        <v>1.0626287037037037</v>
      </c>
    </row>
    <row r="43" spans="1:11" x14ac:dyDescent="0.3">
      <c r="A43" s="1">
        <f t="shared" si="1"/>
        <v>410</v>
      </c>
      <c r="B43" s="5">
        <v>1141</v>
      </c>
      <c r="C43" s="3">
        <f>_25_3[[#This Row],[Tension '[V']]]/1000</f>
        <v>1.141</v>
      </c>
      <c r="D43" s="5">
        <v>381963</v>
      </c>
      <c r="E43" s="16">
        <f>(C44-C43)/(F43/1000)</f>
        <v>0.68069420336524744</v>
      </c>
      <c r="F43" s="3">
        <f>_25_3[[#This Row],[Corriente '[mA']]]/1000</f>
        <v>381.96300000000002</v>
      </c>
      <c r="G43" s="5">
        <v>43623669</v>
      </c>
      <c r="H43" s="4">
        <f>_25_3[[#This Row],[Potencia '[mW']]]/100000</f>
        <v>436.23669000000001</v>
      </c>
      <c r="I43" s="5">
        <v>1</v>
      </c>
      <c r="J43" s="24">
        <f t="shared" si="4"/>
        <v>1.0617722222222223</v>
      </c>
      <c r="K43" s="2">
        <f t="shared" si="2"/>
        <v>0.70784814814814823</v>
      </c>
    </row>
    <row r="44" spans="1:11" x14ac:dyDescent="0.3">
      <c r="A44" s="1">
        <f t="shared" si="1"/>
        <v>420</v>
      </c>
      <c r="B44" s="5">
        <v>1401</v>
      </c>
      <c r="C44" s="3">
        <f>_25_3[[#This Row],[Tension '[V']]]/1000</f>
        <v>1.401</v>
      </c>
      <c r="D44" s="5">
        <v>0</v>
      </c>
      <c r="E44" s="15"/>
      <c r="F44" s="3">
        <f>_25_3[[#This Row],[Corriente '[mA']]]/1000</f>
        <v>0</v>
      </c>
      <c r="G44" s="5">
        <v>0</v>
      </c>
      <c r="H44" s="4">
        <f>_25_3[[#This Row],[Potencia '[mW']]]/100000</f>
        <v>0</v>
      </c>
      <c r="I44" s="5">
        <v>1</v>
      </c>
      <c r="J44" s="24">
        <f t="shared" si="4"/>
        <v>0.53050416666666667</v>
      </c>
      <c r="K44" s="2">
        <f t="shared" si="2"/>
        <v>0.35366944444444448</v>
      </c>
    </row>
    <row r="45" spans="1:11" x14ac:dyDescent="0.3">
      <c r="A45" s="1">
        <f t="shared" si="1"/>
        <v>430</v>
      </c>
      <c r="B45" s="5">
        <v>1411</v>
      </c>
      <c r="C45" s="3">
        <f>_25_3[[#This Row],[Tension '[V']]]/1000</f>
        <v>1.411</v>
      </c>
      <c r="D45" s="5">
        <v>0</v>
      </c>
      <c r="E45" s="15"/>
      <c r="F45" s="3">
        <f>_25_3[[#This Row],[Corriente '[mA']]]/1000</f>
        <v>0</v>
      </c>
      <c r="G45" s="5">
        <v>0</v>
      </c>
      <c r="H45" s="4">
        <f>_25_3[[#This Row],[Potencia '[mW']]]/100000</f>
        <v>0</v>
      </c>
      <c r="I45" s="5">
        <v>1</v>
      </c>
      <c r="J45" s="24">
        <f t="shared" si="4"/>
        <v>0</v>
      </c>
      <c r="K45" s="2">
        <f t="shared" si="2"/>
        <v>0</v>
      </c>
    </row>
    <row r="46" spans="1:11" x14ac:dyDescent="0.3">
      <c r="A46" s="1">
        <f t="shared" si="1"/>
        <v>440</v>
      </c>
      <c r="B46" s="5">
        <v>1419</v>
      </c>
      <c r="C46" s="3">
        <f>_25_3[[#This Row],[Tension '[V']]]/1000</f>
        <v>1.419</v>
      </c>
      <c r="D46" s="5">
        <v>0</v>
      </c>
      <c r="E46" s="15"/>
      <c r="F46" s="3">
        <f>_25_3[[#This Row],[Corriente '[mA']]]/1000</f>
        <v>0</v>
      </c>
      <c r="G46" s="5">
        <v>0</v>
      </c>
      <c r="H46" s="4">
        <f>_25_3[[#This Row],[Potencia '[mW']]]/100000</f>
        <v>0</v>
      </c>
      <c r="I46" s="5">
        <v>1</v>
      </c>
      <c r="J46" s="24">
        <f t="shared" si="4"/>
        <v>0</v>
      </c>
      <c r="K46" s="2">
        <f t="shared" si="2"/>
        <v>0</v>
      </c>
    </row>
    <row r="47" spans="1:11" x14ac:dyDescent="0.3">
      <c r="A47" s="1">
        <f t="shared" si="1"/>
        <v>450</v>
      </c>
      <c r="B47" s="5">
        <v>1424</v>
      </c>
      <c r="C47" s="3">
        <f>_25_3[[#This Row],[Tension '[V']]]/1000</f>
        <v>1.4239999999999999</v>
      </c>
      <c r="D47" s="5">
        <v>0</v>
      </c>
      <c r="E47" s="15"/>
      <c r="F47" s="3">
        <f>_25_3[[#This Row],[Corriente '[mA']]]/1000</f>
        <v>0</v>
      </c>
      <c r="G47" s="5">
        <v>0</v>
      </c>
      <c r="H47" s="4">
        <f>_25_3[[#This Row],[Potencia '[mW']]]/100000</f>
        <v>0</v>
      </c>
      <c r="I47" s="5">
        <v>1</v>
      </c>
      <c r="J47" s="24">
        <f t="shared" si="4"/>
        <v>0</v>
      </c>
      <c r="K47" s="2">
        <f t="shared" si="2"/>
        <v>0</v>
      </c>
    </row>
    <row r="48" spans="1:11" x14ac:dyDescent="0.3">
      <c r="A48" s="1">
        <f t="shared" si="1"/>
        <v>460</v>
      </c>
      <c r="B48" s="5">
        <v>1427</v>
      </c>
      <c r="C48" s="3">
        <f>_25_3[[#This Row],[Tension '[V']]]/1000</f>
        <v>1.427</v>
      </c>
      <c r="D48" s="5">
        <v>0</v>
      </c>
      <c r="E48" s="15"/>
      <c r="F48" s="3">
        <f>_25_3[[#This Row],[Corriente '[mA']]]/1000</f>
        <v>0</v>
      </c>
      <c r="G48" s="5">
        <v>0</v>
      </c>
      <c r="H48" s="4">
        <f>_25_3[[#This Row],[Potencia '[mW']]]/100000</f>
        <v>0</v>
      </c>
      <c r="I48" s="5">
        <v>1</v>
      </c>
      <c r="J48" s="24">
        <f t="shared" si="4"/>
        <v>0</v>
      </c>
      <c r="K48" s="2">
        <f t="shared" si="2"/>
        <v>0</v>
      </c>
    </row>
    <row r="49" spans="1:11" x14ac:dyDescent="0.3">
      <c r="A49" s="1">
        <f t="shared" si="1"/>
        <v>470</v>
      </c>
      <c r="B49" s="5">
        <v>1430</v>
      </c>
      <c r="C49" s="3">
        <f>_25_3[[#This Row],[Tension '[V']]]/1000</f>
        <v>1.43</v>
      </c>
      <c r="D49" s="5">
        <v>0</v>
      </c>
      <c r="E49" s="15"/>
      <c r="F49" s="3">
        <f>_25_3[[#This Row],[Corriente '[mA']]]/1000</f>
        <v>0</v>
      </c>
      <c r="G49" s="5">
        <v>0</v>
      </c>
      <c r="H49" s="4">
        <f>_25_3[[#This Row],[Potencia '[mW']]]/100000</f>
        <v>0</v>
      </c>
      <c r="I49" s="5">
        <v>0</v>
      </c>
      <c r="J49" s="24">
        <f t="shared" si="4"/>
        <v>0</v>
      </c>
      <c r="K49" s="2">
        <f t="shared" si="2"/>
        <v>0.36056759259259263</v>
      </c>
    </row>
    <row r="50" spans="1:11" x14ac:dyDescent="0.3">
      <c r="A50" s="1">
        <f t="shared" si="1"/>
        <v>480</v>
      </c>
      <c r="B50" s="5">
        <v>1166</v>
      </c>
      <c r="C50" s="3">
        <f>_25_3[[#This Row],[Tension '[V']]]/1000</f>
        <v>1.1659999999999999</v>
      </c>
      <c r="D50" s="5">
        <v>389413</v>
      </c>
      <c r="E50" s="16">
        <f>(C49-C50)/(F50/1000)</f>
        <v>0.67794346875938916</v>
      </c>
      <c r="F50" s="3">
        <f>_25_3[[#This Row],[Corriente '[mA']]]/1000</f>
        <v>389.41300000000001</v>
      </c>
      <c r="G50" s="5">
        <v>45373614</v>
      </c>
      <c r="H50" s="4">
        <f>_25_3[[#This Row],[Potencia '[mW']]]/100000</f>
        <v>453.73613999999998</v>
      </c>
      <c r="I50" s="5">
        <v>0</v>
      </c>
      <c r="J50" s="24">
        <f t="shared" si="4"/>
        <v>0.54085138888888895</v>
      </c>
      <c r="K50" s="2">
        <f t="shared" si="2"/>
        <v>0.7183574074074075</v>
      </c>
    </row>
    <row r="51" spans="1:11" x14ac:dyDescent="0.3">
      <c r="A51" s="1">
        <f t="shared" si="1"/>
        <v>490</v>
      </c>
      <c r="B51" s="5">
        <v>1157</v>
      </c>
      <c r="C51" s="3">
        <f>_25_3[[#This Row],[Tension '[V']]]/1000</f>
        <v>1.157</v>
      </c>
      <c r="D51" s="5">
        <v>386413</v>
      </c>
      <c r="E51" s="15"/>
      <c r="F51" s="3">
        <f>_25_3[[#This Row],[Corriente '[mA']]]/1000</f>
        <v>386.41300000000001</v>
      </c>
      <c r="G51" s="5">
        <v>44686135</v>
      </c>
      <c r="H51" s="4">
        <f>_25_3[[#This Row],[Potencia '[mW']]]/100000</f>
        <v>446.86135000000002</v>
      </c>
      <c r="I51" s="5">
        <v>0</v>
      </c>
      <c r="J51" s="24">
        <f t="shared" si="4"/>
        <v>1.0775361111111112</v>
      </c>
      <c r="K51" s="2">
        <f t="shared" si="2"/>
        <v>1.0743185185185187</v>
      </c>
    </row>
    <row r="52" spans="1:11" x14ac:dyDescent="0.3">
      <c r="A52" s="1">
        <f t="shared" si="1"/>
        <v>500</v>
      </c>
      <c r="B52" s="5">
        <v>1150</v>
      </c>
      <c r="C52" s="3">
        <f>_25_3[[#This Row],[Tension '[V']]]/1000</f>
        <v>1.1499999999999999</v>
      </c>
      <c r="D52" s="5">
        <v>384438</v>
      </c>
      <c r="E52" s="15"/>
      <c r="F52" s="3">
        <f>_25_3[[#This Row],[Corriente '[mA']]]/1000</f>
        <v>384.43799999999999</v>
      </c>
      <c r="G52" s="5">
        <v>44248651</v>
      </c>
      <c r="H52" s="4">
        <f>_25_3[[#This Row],[Potencia '[mW']]]/100000</f>
        <v>442.48651000000001</v>
      </c>
      <c r="I52" s="5">
        <v>0</v>
      </c>
      <c r="J52" s="24">
        <f t="shared" si="4"/>
        <v>1.0706263888888889</v>
      </c>
      <c r="K52" s="2">
        <f t="shared" si="2"/>
        <v>1.0683462962962964</v>
      </c>
    </row>
    <row r="53" spans="1:11" x14ac:dyDescent="0.3">
      <c r="A53" s="1">
        <f t="shared" si="1"/>
        <v>510</v>
      </c>
      <c r="B53" s="5">
        <v>1146</v>
      </c>
      <c r="C53" s="3">
        <f>_25_3[[#This Row],[Tension '[V']]]/1000</f>
        <v>1.1459999999999999</v>
      </c>
      <c r="D53" s="5">
        <v>382963</v>
      </c>
      <c r="E53" s="15"/>
      <c r="F53" s="3">
        <f>_25_3[[#This Row],[Corriente '[mA']]]/1000</f>
        <v>382.96300000000002</v>
      </c>
      <c r="G53" s="5">
        <v>43936160</v>
      </c>
      <c r="H53" s="4">
        <f>_25_3[[#This Row],[Potencia '[mW']]]/100000</f>
        <v>439.36160000000001</v>
      </c>
      <c r="I53" s="5">
        <v>0</v>
      </c>
      <c r="J53" s="24">
        <f t="shared" si="4"/>
        <v>1.0658347222222224</v>
      </c>
      <c r="K53" s="2">
        <f t="shared" si="2"/>
        <v>1.0640175925925925</v>
      </c>
    </row>
    <row r="54" spans="1:11" x14ac:dyDescent="0.3">
      <c r="A54" s="1">
        <f t="shared" si="1"/>
        <v>520</v>
      </c>
      <c r="B54" s="5">
        <v>1142</v>
      </c>
      <c r="C54" s="3">
        <f>_25_3[[#This Row],[Tension '[V']]]/1000</f>
        <v>1.1419999999999999</v>
      </c>
      <c r="D54" s="5">
        <v>381738</v>
      </c>
      <c r="E54" s="15"/>
      <c r="F54" s="3">
        <f>_25_3[[#This Row],[Corriente '[mA']]]/1000</f>
        <v>381.738</v>
      </c>
      <c r="G54" s="5">
        <v>43623669</v>
      </c>
      <c r="H54" s="4">
        <f>_25_3[[#This Row],[Potencia '[mW']]]/100000</f>
        <v>436.23669000000001</v>
      </c>
      <c r="I54" s="5">
        <v>0</v>
      </c>
      <c r="J54" s="24">
        <f t="shared" si="4"/>
        <v>1.0620847222222223</v>
      </c>
      <c r="K54" s="2">
        <f t="shared" si="2"/>
        <v>1.0606842592592594</v>
      </c>
    </row>
    <row r="55" spans="1:11" x14ac:dyDescent="0.3">
      <c r="A55" s="1">
        <f t="shared" si="1"/>
        <v>530</v>
      </c>
      <c r="B55" s="5">
        <v>1140</v>
      </c>
      <c r="C55" s="3">
        <f>_25_3[[#This Row],[Tension '[V']]]/1000</f>
        <v>1.1399999999999999</v>
      </c>
      <c r="D55" s="5">
        <v>380838</v>
      </c>
      <c r="E55" s="15"/>
      <c r="F55" s="3">
        <f>_25_3[[#This Row],[Corriente '[mA']]]/1000</f>
        <v>380.83800000000002</v>
      </c>
      <c r="G55" s="5">
        <v>43436175</v>
      </c>
      <c r="H55" s="4">
        <f>_25_3[[#This Row],[Potencia '[mW']]]/100000</f>
        <v>434.36174999999997</v>
      </c>
      <c r="I55" s="5">
        <v>0</v>
      </c>
      <c r="J55" s="24">
        <f t="shared" si="4"/>
        <v>1.0591333333333335</v>
      </c>
      <c r="K55" s="2">
        <f t="shared" si="2"/>
        <v>1.0578601851851852</v>
      </c>
    </row>
    <row r="56" spans="1:11" x14ac:dyDescent="0.3">
      <c r="A56" s="1">
        <f t="shared" si="1"/>
        <v>540</v>
      </c>
      <c r="B56" s="5">
        <v>1137</v>
      </c>
      <c r="C56" s="3">
        <f>_25_3[[#This Row],[Tension '[V']]]/1000</f>
        <v>1.137</v>
      </c>
      <c r="D56" s="5">
        <v>379913</v>
      </c>
      <c r="E56" s="15"/>
      <c r="F56" s="3">
        <f>_25_3[[#This Row],[Corriente '[mA']]]/1000</f>
        <v>379.91300000000001</v>
      </c>
      <c r="G56" s="5">
        <v>43186181</v>
      </c>
      <c r="H56" s="4">
        <f>_25_3[[#This Row],[Potencia '[mW']]]/100000</f>
        <v>431.86180999999999</v>
      </c>
      <c r="I56" s="5">
        <v>0</v>
      </c>
      <c r="J56" s="24">
        <f t="shared" si="4"/>
        <v>1.0565986111111112</v>
      </c>
      <c r="K56" s="2">
        <f t="shared" si="2"/>
        <v>1.0554064814814816</v>
      </c>
    </row>
    <row r="57" spans="1:11" x14ac:dyDescent="0.3">
      <c r="A57" s="1">
        <f t="shared" si="1"/>
        <v>550</v>
      </c>
      <c r="B57" s="5">
        <v>1135</v>
      </c>
      <c r="C57" s="3">
        <f>_25_3[[#This Row],[Tension '[V']]]/1000</f>
        <v>1.135</v>
      </c>
      <c r="D57" s="5">
        <v>379088</v>
      </c>
      <c r="E57" s="15"/>
      <c r="F57" s="3">
        <f>_25_3[[#This Row],[Corriente '[mA']]]/1000</f>
        <v>379.08800000000002</v>
      </c>
      <c r="G57" s="5">
        <v>42998687</v>
      </c>
      <c r="H57" s="4">
        <f>_25_3[[#This Row],[Potencia '[mW']]]/100000</f>
        <v>429.98687000000001</v>
      </c>
      <c r="I57" s="5">
        <v>0</v>
      </c>
      <c r="J57" s="24">
        <f t="shared" si="4"/>
        <v>1.0541680555555555</v>
      </c>
      <c r="K57" s="2">
        <f t="shared" si="2"/>
        <v>1.0530685185185187</v>
      </c>
    </row>
    <row r="58" spans="1:11" x14ac:dyDescent="0.3">
      <c r="A58" s="1">
        <f t="shared" si="1"/>
        <v>560</v>
      </c>
      <c r="B58" s="5">
        <v>1132</v>
      </c>
      <c r="C58" s="3">
        <f>_25_3[[#This Row],[Tension '[V']]]/1000</f>
        <v>1.1319999999999999</v>
      </c>
      <c r="D58" s="5">
        <v>378313</v>
      </c>
      <c r="E58" s="15"/>
      <c r="F58" s="3">
        <f>_25_3[[#This Row],[Corriente '[mA']]]/1000</f>
        <v>378.31299999999999</v>
      </c>
      <c r="G58" s="5">
        <v>42811193</v>
      </c>
      <c r="H58" s="4">
        <f>_25_3[[#This Row],[Potencia '[mW']]]/100000</f>
        <v>428.11192999999997</v>
      </c>
      <c r="I58" s="5">
        <v>0</v>
      </c>
      <c r="J58" s="24">
        <f t="shared" si="4"/>
        <v>1.0519458333333334</v>
      </c>
      <c r="K58" s="2">
        <f t="shared" si="2"/>
        <v>1.0509157407407408</v>
      </c>
    </row>
    <row r="59" spans="1:11" x14ac:dyDescent="0.3">
      <c r="A59" s="1">
        <f t="shared" si="1"/>
        <v>570</v>
      </c>
      <c r="B59" s="5">
        <v>1130</v>
      </c>
      <c r="C59" s="3">
        <f>_25_3[[#This Row],[Tension '[V']]]/1000</f>
        <v>1.1299999999999999</v>
      </c>
      <c r="D59" s="5">
        <v>377588</v>
      </c>
      <c r="E59" s="15"/>
      <c r="F59" s="3">
        <f>_25_3[[#This Row],[Corriente '[mA']]]/1000</f>
        <v>377.58800000000002</v>
      </c>
      <c r="G59" s="5">
        <v>42686196</v>
      </c>
      <c r="H59" s="4">
        <f>_25_3[[#This Row],[Potencia '[mW']]]/100000</f>
        <v>426.86196000000001</v>
      </c>
      <c r="I59" s="5">
        <v>0</v>
      </c>
      <c r="J59" s="24">
        <f t="shared" si="4"/>
        <v>1.0498625000000001</v>
      </c>
      <c r="K59" s="2">
        <f t="shared" si="2"/>
        <v>1.0489250000000001</v>
      </c>
    </row>
    <row r="60" spans="1:11" x14ac:dyDescent="0.3">
      <c r="A60" s="1">
        <f t="shared" si="1"/>
        <v>580</v>
      </c>
      <c r="B60" s="5">
        <v>1129</v>
      </c>
      <c r="C60" s="3">
        <f>_25_3[[#This Row],[Tension '[V']]]/1000</f>
        <v>1.129</v>
      </c>
      <c r="D60" s="5">
        <v>376938</v>
      </c>
      <c r="E60" s="15"/>
      <c r="F60" s="3">
        <f>_25_3[[#This Row],[Corriente '[mA']]]/1000</f>
        <v>376.93799999999999</v>
      </c>
      <c r="G60" s="5">
        <v>42498703</v>
      </c>
      <c r="H60" s="4">
        <f>_25_3[[#This Row],[Potencia '[mW']]]/100000</f>
        <v>424.98703</v>
      </c>
      <c r="I60" s="5">
        <v>0</v>
      </c>
      <c r="J60" s="24">
        <f t="shared" si="4"/>
        <v>1.047952777777778</v>
      </c>
      <c r="K60" s="2">
        <f t="shared" si="2"/>
        <v>1.0470277777777779</v>
      </c>
    </row>
    <row r="61" spans="1:11" x14ac:dyDescent="0.3">
      <c r="A61" s="1">
        <f t="shared" si="1"/>
        <v>590</v>
      </c>
      <c r="B61" s="5">
        <v>1126</v>
      </c>
      <c r="C61" s="3">
        <f>_25_3[[#This Row],[Tension '[V']]]/1000</f>
        <v>1.1259999999999999</v>
      </c>
      <c r="D61" s="5">
        <v>376264</v>
      </c>
      <c r="E61" s="15"/>
      <c r="F61" s="3">
        <f>_25_3[[#This Row],[Corriente '[mA']]]/1000</f>
        <v>376.26400000000001</v>
      </c>
      <c r="G61" s="5">
        <v>42373706</v>
      </c>
      <c r="H61" s="4">
        <f>_25_3[[#This Row],[Potencia '[mW']]]/100000</f>
        <v>423.73705999999999</v>
      </c>
      <c r="I61" s="5">
        <v>0</v>
      </c>
      <c r="J61" s="24">
        <f t="shared" si="4"/>
        <v>1.046113888888889</v>
      </c>
      <c r="K61" s="2">
        <f t="shared" si="2"/>
        <v>1.0452231481481482</v>
      </c>
    </row>
    <row r="62" spans="1:11" x14ac:dyDescent="0.3">
      <c r="A62" s="1">
        <f t="shared" si="1"/>
        <v>600</v>
      </c>
      <c r="B62" s="5">
        <v>1125</v>
      </c>
      <c r="C62" s="3">
        <f>_25_3[[#This Row],[Tension '[V']]]/1000</f>
        <v>1.125</v>
      </c>
      <c r="D62" s="5">
        <v>375639</v>
      </c>
      <c r="E62" s="15"/>
      <c r="F62" s="3">
        <f>_25_3[[#This Row],[Corriente '[mA']]]/1000</f>
        <v>375.63900000000001</v>
      </c>
      <c r="G62" s="5">
        <v>42248712</v>
      </c>
      <c r="H62" s="4">
        <f>_25_3[[#This Row],[Potencia '[mW']]]/100000</f>
        <v>422.48712</v>
      </c>
      <c r="I62" s="5">
        <v>0</v>
      </c>
      <c r="J62" s="24">
        <f t="shared" si="4"/>
        <v>1.0443097222222222</v>
      </c>
      <c r="K62" s="2">
        <f t="shared" si="2"/>
        <v>1.0434648148148149</v>
      </c>
    </row>
    <row r="63" spans="1:11" x14ac:dyDescent="0.3">
      <c r="A63" s="1">
        <f t="shared" si="1"/>
        <v>610</v>
      </c>
      <c r="B63" s="5">
        <v>1122</v>
      </c>
      <c r="C63" s="3">
        <f>_25_3[[#This Row],[Tension '[V']]]/1000</f>
        <v>1.1220000000000001</v>
      </c>
      <c r="D63" s="5">
        <v>375039</v>
      </c>
      <c r="E63" s="15"/>
      <c r="F63" s="3">
        <f>_25_3[[#This Row],[Corriente '[mA']]]/1000</f>
        <v>375.03899999999999</v>
      </c>
      <c r="G63" s="5">
        <v>42061215</v>
      </c>
      <c r="H63" s="4">
        <f>_25_3[[#This Row],[Potencia '[mW']]]/100000</f>
        <v>420.61214999999999</v>
      </c>
      <c r="I63" s="5">
        <v>0</v>
      </c>
      <c r="J63" s="24">
        <f t="shared" si="4"/>
        <v>1.0426083333333334</v>
      </c>
      <c r="K63" s="2">
        <f t="shared" si="2"/>
        <v>1.0417749999999999</v>
      </c>
    </row>
    <row r="64" spans="1:11" x14ac:dyDescent="0.3">
      <c r="A64" s="1">
        <f t="shared" si="1"/>
        <v>620</v>
      </c>
      <c r="B64" s="5">
        <v>1120</v>
      </c>
      <c r="C64" s="3">
        <f>_25_3[[#This Row],[Tension '[V']]]/1000</f>
        <v>1.1200000000000001</v>
      </c>
      <c r="D64" s="5">
        <v>374439</v>
      </c>
      <c r="E64" s="15"/>
      <c r="F64" s="3">
        <f>_25_3[[#This Row],[Corriente '[mA']]]/1000</f>
        <v>374.43900000000002</v>
      </c>
      <c r="G64" s="5">
        <v>41998718</v>
      </c>
      <c r="H64" s="4">
        <f>_25_3[[#This Row],[Potencia '[mW']]]/100000</f>
        <v>419.98718000000002</v>
      </c>
      <c r="I64" s="5">
        <v>0</v>
      </c>
      <c r="J64" s="24">
        <f t="shared" si="4"/>
        <v>1.0409416666666669</v>
      </c>
      <c r="K64" s="2">
        <f t="shared" si="2"/>
        <v>1.0401314814814815</v>
      </c>
    </row>
    <row r="65" spans="1:11" x14ac:dyDescent="0.3">
      <c r="A65" s="1">
        <f t="shared" si="1"/>
        <v>630</v>
      </c>
      <c r="B65" s="5">
        <v>1119</v>
      </c>
      <c r="C65" s="3">
        <f>_25_3[[#This Row],[Tension '[V']]]/1000</f>
        <v>1.119</v>
      </c>
      <c r="D65" s="5">
        <v>373864</v>
      </c>
      <c r="E65" s="15"/>
      <c r="F65" s="3">
        <f>_25_3[[#This Row],[Corriente '[mA']]]/1000</f>
        <v>373.86399999999998</v>
      </c>
      <c r="G65" s="5">
        <v>41748724</v>
      </c>
      <c r="H65" s="4">
        <f>_25_3[[#This Row],[Potencia '[mW']]]/100000</f>
        <v>417.48723999999999</v>
      </c>
      <c r="I65" s="5">
        <v>0</v>
      </c>
      <c r="J65" s="24">
        <f t="shared" si="4"/>
        <v>1.0393097222222223</v>
      </c>
      <c r="K65" s="2">
        <f t="shared" si="2"/>
        <v>1.0385342592592592</v>
      </c>
    </row>
    <row r="66" spans="1:11" x14ac:dyDescent="0.3">
      <c r="A66" s="1">
        <f t="shared" si="1"/>
        <v>640</v>
      </c>
      <c r="B66" s="5">
        <v>1117</v>
      </c>
      <c r="C66" s="3">
        <f>_25_3[[#This Row],[Tension '[V']]]/1000</f>
        <v>1.117</v>
      </c>
      <c r="D66" s="5">
        <v>373314</v>
      </c>
      <c r="E66" s="15"/>
      <c r="F66" s="3">
        <f>_25_3[[#This Row],[Corriente '[mA']]]/1000</f>
        <v>373.31400000000002</v>
      </c>
      <c r="G66" s="5">
        <v>41686227</v>
      </c>
      <c r="H66" s="4">
        <f>_25_3[[#This Row],[Potencia '[mW']]]/100000</f>
        <v>416.86227000000002</v>
      </c>
      <c r="I66" s="5">
        <v>0</v>
      </c>
      <c r="J66" s="24">
        <f t="shared" ref="J66:J88" si="5">($A$3/3600)*((F65+F66)/2)</f>
        <v>1.0377472222222222</v>
      </c>
      <c r="K66" s="2">
        <f t="shared" si="2"/>
        <v>1.0369833333333334</v>
      </c>
    </row>
    <row r="67" spans="1:11" x14ac:dyDescent="0.3">
      <c r="A67" s="1">
        <f t="shared" si="1"/>
        <v>650</v>
      </c>
      <c r="B67" s="5">
        <v>1116</v>
      </c>
      <c r="C67" s="3">
        <f>_25_3[[#This Row],[Tension '[V']]]/1000</f>
        <v>1.1160000000000001</v>
      </c>
      <c r="D67" s="5">
        <v>372764</v>
      </c>
      <c r="E67" s="16">
        <f>(C68-C67)/(F67/1000)</f>
        <v>0.70017490959427386</v>
      </c>
      <c r="F67" s="3">
        <f>_25_3[[#This Row],[Corriente '[mA']]]/1000</f>
        <v>372.76400000000001</v>
      </c>
      <c r="G67" s="5">
        <v>41561230</v>
      </c>
      <c r="H67" s="4">
        <f>_25_3[[#This Row],[Potencia '[mW']]]/100000</f>
        <v>415.6123</v>
      </c>
      <c r="I67" s="5">
        <v>1</v>
      </c>
      <c r="J67" s="24">
        <f t="shared" si="5"/>
        <v>1.0362194444444444</v>
      </c>
      <c r="K67" s="2">
        <f t="shared" si="2"/>
        <v>0.69081296296296302</v>
      </c>
    </row>
    <row r="68" spans="1:11" x14ac:dyDescent="0.3">
      <c r="A68" s="1">
        <f t="shared" ref="A68:A88" si="6">A67+10</f>
        <v>660</v>
      </c>
      <c r="B68" s="5">
        <v>1377</v>
      </c>
      <c r="C68" s="3">
        <f>_25_3[[#This Row],[Tension '[V']]]/1000</f>
        <v>1.377</v>
      </c>
      <c r="D68" s="5">
        <v>0</v>
      </c>
      <c r="E68" s="15"/>
      <c r="F68" s="3">
        <f>_25_3[[#This Row],[Corriente '[mA']]]/1000</f>
        <v>0</v>
      </c>
      <c r="G68" s="5">
        <v>0</v>
      </c>
      <c r="H68" s="4">
        <f>_25_3[[#This Row],[Potencia '[mW']]]/100000</f>
        <v>0</v>
      </c>
      <c r="I68" s="5">
        <v>1</v>
      </c>
      <c r="J68" s="24">
        <f t="shared" si="5"/>
        <v>0.51772777777777779</v>
      </c>
      <c r="K68" s="2">
        <f t="shared" ref="K68:K88" si="7">($A$3/3600)*(F67/3+F68/3+F69/3)</f>
        <v>0.34515185185185188</v>
      </c>
    </row>
    <row r="69" spans="1:11" x14ac:dyDescent="0.3">
      <c r="A69" s="1">
        <f t="shared" si="6"/>
        <v>670</v>
      </c>
      <c r="B69" s="5">
        <v>1387</v>
      </c>
      <c r="C69" s="3">
        <f>_25_3[[#This Row],[Tension '[V']]]/1000</f>
        <v>1.387</v>
      </c>
      <c r="D69" s="5">
        <v>0</v>
      </c>
      <c r="E69" s="15"/>
      <c r="F69" s="3">
        <f>_25_3[[#This Row],[Corriente '[mA']]]/1000</f>
        <v>0</v>
      </c>
      <c r="G69" s="5">
        <v>0</v>
      </c>
      <c r="H69" s="4">
        <f>_25_3[[#This Row],[Potencia '[mW']]]/100000</f>
        <v>0</v>
      </c>
      <c r="I69" s="5">
        <v>1</v>
      </c>
      <c r="J69" s="24">
        <f t="shared" si="5"/>
        <v>0</v>
      </c>
      <c r="K69" s="2">
        <f t="shared" si="7"/>
        <v>0</v>
      </c>
    </row>
    <row r="70" spans="1:11" x14ac:dyDescent="0.3">
      <c r="A70" s="1">
        <f t="shared" si="6"/>
        <v>680</v>
      </c>
      <c r="B70" s="5">
        <v>1395</v>
      </c>
      <c r="C70" s="3">
        <f>_25_3[[#This Row],[Tension '[V']]]/1000</f>
        <v>1.395</v>
      </c>
      <c r="D70" s="5">
        <v>0</v>
      </c>
      <c r="E70" s="15"/>
      <c r="F70" s="3">
        <f>_25_3[[#This Row],[Corriente '[mA']]]/1000</f>
        <v>0</v>
      </c>
      <c r="G70" s="5">
        <v>0</v>
      </c>
      <c r="H70" s="4">
        <f>_25_3[[#This Row],[Potencia '[mW']]]/100000</f>
        <v>0</v>
      </c>
      <c r="I70" s="5">
        <v>1</v>
      </c>
      <c r="J70" s="24">
        <f t="shared" si="5"/>
        <v>0</v>
      </c>
      <c r="K70" s="2">
        <f t="shared" si="7"/>
        <v>0</v>
      </c>
    </row>
    <row r="71" spans="1:11" x14ac:dyDescent="0.3">
      <c r="A71" s="1">
        <f t="shared" si="6"/>
        <v>690</v>
      </c>
      <c r="B71" s="5">
        <v>1400</v>
      </c>
      <c r="C71" s="3">
        <f>_25_3[[#This Row],[Tension '[V']]]/1000</f>
        <v>1.4</v>
      </c>
      <c r="D71" s="5">
        <v>0</v>
      </c>
      <c r="E71" s="15"/>
      <c r="F71" s="3">
        <f>_25_3[[#This Row],[Corriente '[mA']]]/1000</f>
        <v>0</v>
      </c>
      <c r="G71" s="5">
        <v>0</v>
      </c>
      <c r="H71" s="4">
        <f>_25_3[[#This Row],[Potencia '[mW']]]/100000</f>
        <v>0</v>
      </c>
      <c r="I71" s="5">
        <v>1</v>
      </c>
      <c r="J71" s="24">
        <f t="shared" si="5"/>
        <v>0</v>
      </c>
      <c r="K71" s="2">
        <f t="shared" si="7"/>
        <v>0</v>
      </c>
    </row>
    <row r="72" spans="1:11" x14ac:dyDescent="0.3">
      <c r="A72" s="1">
        <f t="shared" si="6"/>
        <v>700</v>
      </c>
      <c r="B72" s="5">
        <v>1404</v>
      </c>
      <c r="C72" s="3">
        <f>_25_3[[#This Row],[Tension '[V']]]/1000</f>
        <v>1.4039999999999999</v>
      </c>
      <c r="D72" s="5">
        <v>0</v>
      </c>
      <c r="E72" s="15"/>
      <c r="F72" s="3">
        <f>_25_3[[#This Row],[Corriente '[mA']]]/1000</f>
        <v>0</v>
      </c>
      <c r="G72" s="5">
        <v>0</v>
      </c>
      <c r="H72" s="4">
        <f>_25_3[[#This Row],[Potencia '[mW']]]/100000</f>
        <v>0</v>
      </c>
      <c r="I72" s="5">
        <v>1</v>
      </c>
      <c r="J72" s="24">
        <f t="shared" si="5"/>
        <v>0</v>
      </c>
      <c r="K72" s="2">
        <f t="shared" si="7"/>
        <v>0</v>
      </c>
    </row>
    <row r="73" spans="1:11" x14ac:dyDescent="0.3">
      <c r="A73" s="1">
        <f t="shared" si="6"/>
        <v>710</v>
      </c>
      <c r="B73" s="5">
        <v>1406</v>
      </c>
      <c r="C73" s="3">
        <f>_25_3[[#This Row],[Tension '[V']]]/1000</f>
        <v>1.4059999999999999</v>
      </c>
      <c r="D73" s="5">
        <v>0</v>
      </c>
      <c r="E73" s="15"/>
      <c r="F73" s="3">
        <f>_25_3[[#This Row],[Corriente '[mA']]]/1000</f>
        <v>0</v>
      </c>
      <c r="G73" s="5">
        <v>0</v>
      </c>
      <c r="H73" s="4">
        <f>_25_3[[#This Row],[Potencia '[mW']]]/100000</f>
        <v>0</v>
      </c>
      <c r="I73" s="5">
        <v>0</v>
      </c>
      <c r="J73" s="24">
        <f t="shared" si="5"/>
        <v>0</v>
      </c>
      <c r="K73" s="2">
        <f t="shared" si="7"/>
        <v>0.35223425925925927</v>
      </c>
    </row>
    <row r="74" spans="1:11" x14ac:dyDescent="0.3">
      <c r="A74" s="1">
        <f t="shared" si="6"/>
        <v>720</v>
      </c>
      <c r="B74" s="5">
        <v>1139</v>
      </c>
      <c r="C74" s="3">
        <f>_25_3[[#This Row],[Tension '[V']]]/1000</f>
        <v>1.139</v>
      </c>
      <c r="D74" s="5">
        <v>380413</v>
      </c>
      <c r="E74" s="16">
        <f>(C73-C74)/(F74/1000)</f>
        <v>0.70186875842833951</v>
      </c>
      <c r="F74" s="3">
        <f>_25_3[[#This Row],[Corriente '[mA']]]/1000</f>
        <v>380.41300000000001</v>
      </c>
      <c r="G74" s="5">
        <v>43311178</v>
      </c>
      <c r="H74" s="4">
        <f>_25_3[[#This Row],[Potencia '[mW']]]/100000</f>
        <v>433.11178000000001</v>
      </c>
      <c r="I74" s="5">
        <v>0</v>
      </c>
      <c r="J74" s="24">
        <f t="shared" si="5"/>
        <v>0.52835138888888888</v>
      </c>
      <c r="K74" s="2">
        <f t="shared" si="7"/>
        <v>0.70169074074074078</v>
      </c>
    </row>
    <row r="75" spans="1:11" x14ac:dyDescent="0.3">
      <c r="A75" s="1">
        <f t="shared" si="6"/>
        <v>730</v>
      </c>
      <c r="B75" s="5">
        <v>1130</v>
      </c>
      <c r="C75" s="3">
        <f>_25_3[[#This Row],[Tension '[V']]]/1000</f>
        <v>1.1299999999999999</v>
      </c>
      <c r="D75" s="5">
        <v>377413</v>
      </c>
      <c r="E75" s="15"/>
      <c r="F75" s="3">
        <f>_25_3[[#This Row],[Corriente '[mA']]]/1000</f>
        <v>377.41300000000001</v>
      </c>
      <c r="G75" s="5">
        <v>42623699</v>
      </c>
      <c r="H75" s="4">
        <f>_25_3[[#This Row],[Potencia '[mW']]]/100000</f>
        <v>426.23698999999999</v>
      </c>
      <c r="I75" s="5">
        <v>0</v>
      </c>
      <c r="J75" s="24">
        <f t="shared" si="5"/>
        <v>1.0525361111111111</v>
      </c>
      <c r="K75" s="2">
        <f t="shared" si="7"/>
        <v>1.0493657407407406</v>
      </c>
    </row>
    <row r="76" spans="1:11" x14ac:dyDescent="0.3">
      <c r="A76" s="1">
        <f t="shared" si="6"/>
        <v>740</v>
      </c>
      <c r="B76" s="5">
        <v>1124</v>
      </c>
      <c r="C76" s="3">
        <f>_25_3[[#This Row],[Tension '[V']]]/1000</f>
        <v>1.1240000000000001</v>
      </c>
      <c r="D76" s="5">
        <v>375489</v>
      </c>
      <c r="E76" s="15"/>
      <c r="F76" s="3">
        <f>_25_3[[#This Row],[Corriente '[mA']]]/1000</f>
        <v>375.48899999999998</v>
      </c>
      <c r="G76" s="5">
        <v>42186212</v>
      </c>
      <c r="H76" s="4">
        <f>_25_3[[#This Row],[Potencia '[mW']]]/100000</f>
        <v>421.86212</v>
      </c>
      <c r="I76" s="5">
        <v>0</v>
      </c>
      <c r="J76" s="24">
        <f t="shared" si="5"/>
        <v>1.0456972222222223</v>
      </c>
      <c r="K76" s="2">
        <f t="shared" si="7"/>
        <v>1.043487037037037</v>
      </c>
    </row>
    <row r="77" spans="1:11" x14ac:dyDescent="0.3">
      <c r="A77" s="1">
        <f t="shared" si="6"/>
        <v>750</v>
      </c>
      <c r="B77" s="5">
        <v>1120</v>
      </c>
      <c r="C77" s="3">
        <f>_25_3[[#This Row],[Tension '[V']]]/1000</f>
        <v>1.1200000000000001</v>
      </c>
      <c r="D77" s="5">
        <v>374064</v>
      </c>
      <c r="E77" s="15"/>
      <c r="F77" s="3">
        <f>_25_3[[#This Row],[Corriente '[mA']]]/1000</f>
        <v>374.06400000000002</v>
      </c>
      <c r="G77" s="5">
        <v>41873721</v>
      </c>
      <c r="H77" s="4">
        <f>_25_3[[#This Row],[Potencia '[mW']]]/100000</f>
        <v>418.73721</v>
      </c>
      <c r="I77" s="5">
        <v>0</v>
      </c>
      <c r="J77" s="24">
        <f t="shared" si="5"/>
        <v>1.0410458333333334</v>
      </c>
      <c r="K77" s="2">
        <f t="shared" si="7"/>
        <v>1.0393212962962963</v>
      </c>
    </row>
    <row r="78" spans="1:11" x14ac:dyDescent="0.3">
      <c r="A78" s="1">
        <f t="shared" si="6"/>
        <v>760</v>
      </c>
      <c r="B78" s="5">
        <v>1116</v>
      </c>
      <c r="C78" s="3">
        <f>_25_3[[#This Row],[Tension '[V']]]/1000</f>
        <v>1.1160000000000001</v>
      </c>
      <c r="D78" s="5">
        <v>372914</v>
      </c>
      <c r="E78" s="15"/>
      <c r="F78" s="3">
        <f>_25_3[[#This Row],[Corriente '[mA']]]/1000</f>
        <v>372.91399999999999</v>
      </c>
      <c r="G78" s="5">
        <v>41561230</v>
      </c>
      <c r="H78" s="4">
        <f>_25_3[[#This Row],[Potencia '[mW']]]/100000</f>
        <v>415.6123</v>
      </c>
      <c r="I78" s="5">
        <v>0</v>
      </c>
      <c r="J78" s="24">
        <f t="shared" si="5"/>
        <v>1.0374694444444446</v>
      </c>
      <c r="K78" s="2">
        <f t="shared" si="7"/>
        <v>1.0360342592592593</v>
      </c>
    </row>
    <row r="79" spans="1:11" x14ac:dyDescent="0.3">
      <c r="A79" s="1">
        <f t="shared" si="6"/>
        <v>770</v>
      </c>
      <c r="B79" s="5">
        <v>1114</v>
      </c>
      <c r="C79" s="3">
        <f>_25_3[[#This Row],[Tension '[V']]]/1000</f>
        <v>1.1140000000000001</v>
      </c>
      <c r="D79" s="5">
        <v>371939</v>
      </c>
      <c r="E79" s="15"/>
      <c r="F79" s="3">
        <f>_25_3[[#This Row],[Corriente '[mA']]]/1000</f>
        <v>371.93900000000002</v>
      </c>
      <c r="G79" s="5">
        <v>41373736</v>
      </c>
      <c r="H79" s="4">
        <f>_25_3[[#This Row],[Potencia '[mW']]]/100000</f>
        <v>413.73736000000002</v>
      </c>
      <c r="I79" s="5">
        <v>0</v>
      </c>
      <c r="J79" s="24">
        <f t="shared" si="5"/>
        <v>1.0345180555555558</v>
      </c>
      <c r="K79" s="2">
        <f t="shared" si="7"/>
        <v>1.0332333333333334</v>
      </c>
    </row>
    <row r="80" spans="1:11" x14ac:dyDescent="0.3">
      <c r="A80" s="1">
        <f t="shared" si="6"/>
        <v>780</v>
      </c>
      <c r="B80" s="5">
        <v>1111</v>
      </c>
      <c r="C80" s="3">
        <f>_25_3[[#This Row],[Tension '[V']]]/1000</f>
        <v>1.111</v>
      </c>
      <c r="D80" s="5">
        <v>371039</v>
      </c>
      <c r="E80" s="15"/>
      <c r="F80" s="3">
        <f>_25_3[[#This Row],[Corriente '[mA']]]/1000</f>
        <v>371.03899999999999</v>
      </c>
      <c r="G80" s="5">
        <v>41248742</v>
      </c>
      <c r="H80" s="4">
        <f>_25_3[[#This Row],[Potencia '[mW']]]/100000</f>
        <v>412.48741999999999</v>
      </c>
      <c r="I80" s="5">
        <v>0</v>
      </c>
      <c r="J80" s="24">
        <f t="shared" si="5"/>
        <v>1.031913888888889</v>
      </c>
      <c r="K80" s="2">
        <f t="shared" si="7"/>
        <v>1.0307564814814816</v>
      </c>
    </row>
    <row r="81" spans="1:11" x14ac:dyDescent="0.3">
      <c r="A81" s="1">
        <f t="shared" si="6"/>
        <v>790</v>
      </c>
      <c r="B81" s="5">
        <v>1109</v>
      </c>
      <c r="C81" s="3">
        <f>_25_3[[#This Row],[Tension '[V']]]/1000</f>
        <v>1.109</v>
      </c>
      <c r="D81" s="5">
        <v>370239</v>
      </c>
      <c r="E81" s="15"/>
      <c r="F81" s="3">
        <f>_25_3[[#This Row],[Corriente '[mA']]]/1000</f>
        <v>370.23899999999998</v>
      </c>
      <c r="G81" s="5">
        <v>41061245</v>
      </c>
      <c r="H81" s="4">
        <f>_25_3[[#This Row],[Potencia '[mW']]]/100000</f>
        <v>410.61245000000002</v>
      </c>
      <c r="I81" s="5">
        <v>0</v>
      </c>
      <c r="J81" s="24">
        <f t="shared" si="5"/>
        <v>1.0295527777777778</v>
      </c>
      <c r="K81" s="2">
        <f t="shared" si="7"/>
        <v>1.0285342592592592</v>
      </c>
    </row>
    <row r="82" spans="1:11" x14ac:dyDescent="0.3">
      <c r="A82" s="1">
        <f t="shared" si="6"/>
        <v>800</v>
      </c>
      <c r="B82" s="5">
        <v>1106</v>
      </c>
      <c r="C82" s="3">
        <f>_25_3[[#This Row],[Tension '[V']]]/1000</f>
        <v>1.1060000000000001</v>
      </c>
      <c r="D82" s="5">
        <v>369539</v>
      </c>
      <c r="E82" s="15"/>
      <c r="F82" s="3">
        <f>_25_3[[#This Row],[Corriente '[mA']]]/1000</f>
        <v>369.53899999999999</v>
      </c>
      <c r="G82" s="5">
        <v>40873751</v>
      </c>
      <c r="H82" s="4">
        <f>_25_3[[#This Row],[Potencia '[mW']]]/100000</f>
        <v>408.73750999999999</v>
      </c>
      <c r="I82" s="5">
        <v>0</v>
      </c>
      <c r="J82" s="24">
        <f t="shared" si="5"/>
        <v>1.0274694444444445</v>
      </c>
      <c r="K82" s="2">
        <f t="shared" si="7"/>
        <v>1.0264972222222222</v>
      </c>
    </row>
    <row r="83" spans="1:11" x14ac:dyDescent="0.3">
      <c r="A83" s="1">
        <f t="shared" si="6"/>
        <v>810</v>
      </c>
      <c r="B83" s="5">
        <v>1104</v>
      </c>
      <c r="C83" s="3">
        <f>_25_3[[#This Row],[Tension '[V']]]/1000</f>
        <v>1.1040000000000001</v>
      </c>
      <c r="D83" s="5">
        <v>368839</v>
      </c>
      <c r="E83" s="15"/>
      <c r="F83" s="3">
        <f>_25_3[[#This Row],[Corriente '[mA']]]/1000</f>
        <v>368.839</v>
      </c>
      <c r="G83" s="5">
        <v>40748754</v>
      </c>
      <c r="H83" s="4">
        <f>_25_3[[#This Row],[Potencia '[mW']]]/100000</f>
        <v>407.48754000000002</v>
      </c>
      <c r="I83" s="5">
        <v>0</v>
      </c>
      <c r="J83" s="24">
        <f t="shared" si="5"/>
        <v>1.025525</v>
      </c>
      <c r="K83" s="2">
        <f t="shared" si="7"/>
        <v>1.0246222222222221</v>
      </c>
    </row>
    <row r="84" spans="1:11" x14ac:dyDescent="0.3">
      <c r="A84" s="1">
        <f t="shared" si="6"/>
        <v>820</v>
      </c>
      <c r="B84" s="5">
        <v>1102</v>
      </c>
      <c r="C84" s="3">
        <f>_25_3[[#This Row],[Tension '[V']]]/1000</f>
        <v>1.1020000000000001</v>
      </c>
      <c r="D84" s="5">
        <v>368214</v>
      </c>
      <c r="E84" s="15"/>
      <c r="F84" s="3">
        <f>_25_3[[#This Row],[Corriente '[mA']]]/1000</f>
        <v>368.214</v>
      </c>
      <c r="G84" s="5">
        <v>40561260</v>
      </c>
      <c r="H84" s="4">
        <f>_25_3[[#This Row],[Potencia '[mW']]]/100000</f>
        <v>405.61259999999999</v>
      </c>
      <c r="I84" s="5">
        <v>0</v>
      </c>
      <c r="J84" s="24">
        <f t="shared" si="5"/>
        <v>1.0236847222222223</v>
      </c>
      <c r="K84" s="2">
        <f t="shared" si="7"/>
        <v>1.0228166666666667</v>
      </c>
    </row>
    <row r="85" spans="1:11" x14ac:dyDescent="0.3">
      <c r="A85" s="1">
        <f t="shared" si="6"/>
        <v>830</v>
      </c>
      <c r="B85" s="5">
        <v>1100</v>
      </c>
      <c r="C85" s="3">
        <f>_25_3[[#This Row],[Tension '[V']]]/1000</f>
        <v>1.1000000000000001</v>
      </c>
      <c r="D85" s="5">
        <v>367589</v>
      </c>
      <c r="E85" s="15"/>
      <c r="F85" s="3">
        <f>_25_3[[#This Row],[Corriente '[mA']]]/1000</f>
        <v>367.589</v>
      </c>
      <c r="G85" s="5">
        <v>40436267</v>
      </c>
      <c r="H85" s="4">
        <f>_25_3[[#This Row],[Potencia '[mW']]]/100000</f>
        <v>404.36266999999998</v>
      </c>
      <c r="I85" s="5">
        <v>0</v>
      </c>
      <c r="J85" s="24">
        <f t="shared" si="5"/>
        <v>1.0219486111111111</v>
      </c>
      <c r="K85" s="2">
        <f t="shared" si="7"/>
        <v>0.6812990740740742</v>
      </c>
    </row>
    <row r="86" spans="1:11" x14ac:dyDescent="0.3">
      <c r="A86" s="6">
        <f t="shared" si="6"/>
        <v>840</v>
      </c>
      <c r="B86" s="7">
        <v>14062</v>
      </c>
      <c r="C86" s="8">
        <f>_25_3[[#This Row],[Tension '[V']]]/10000</f>
        <v>1.4061999999999999</v>
      </c>
      <c r="D86" s="7">
        <v>0</v>
      </c>
      <c r="E86" s="17"/>
      <c r="F86" s="8">
        <f>_25_3[[#This Row],[Corriente '[mA']]]/1000</f>
        <v>0</v>
      </c>
      <c r="G86" s="7">
        <v>0</v>
      </c>
      <c r="H86" s="9">
        <f>_25_3[[#This Row],[Potencia '[mW']]]/100000</f>
        <v>0</v>
      </c>
      <c r="I86" s="7">
        <v>0</v>
      </c>
      <c r="J86" s="24">
        <f t="shared" si="5"/>
        <v>0.51054027777777777</v>
      </c>
      <c r="K86" s="2">
        <f t="shared" si="7"/>
        <v>0.34036018518518524</v>
      </c>
    </row>
    <row r="87" spans="1:11" x14ac:dyDescent="0.3">
      <c r="A87" s="6">
        <f t="shared" si="6"/>
        <v>850</v>
      </c>
      <c r="B87" s="7">
        <v>14062</v>
      </c>
      <c r="C87" s="8">
        <f>_25_3[[#This Row],[Tension '[V']]]/10000</f>
        <v>1.4061999999999999</v>
      </c>
      <c r="D87" s="7">
        <v>0</v>
      </c>
      <c r="E87" s="17"/>
      <c r="F87" s="8">
        <f>_25_3[[#This Row],[Corriente '[mA']]]/1000</f>
        <v>0</v>
      </c>
      <c r="G87" s="7">
        <v>0</v>
      </c>
      <c r="H87" s="9">
        <f>_25_3[[#This Row],[Potencia '[mW']]]/100000</f>
        <v>0</v>
      </c>
      <c r="I87" s="7">
        <v>0</v>
      </c>
      <c r="J87" s="24">
        <f t="shared" si="5"/>
        <v>0</v>
      </c>
      <c r="K87" s="2">
        <f t="shared" si="7"/>
        <v>0</v>
      </c>
    </row>
    <row r="88" spans="1:11" x14ac:dyDescent="0.3">
      <c r="A88" s="6">
        <f t="shared" si="6"/>
        <v>860</v>
      </c>
      <c r="B88" s="7">
        <v>14062</v>
      </c>
      <c r="C88" s="8">
        <f>_25_3[[#This Row],[Tension '[V']]]/10000</f>
        <v>1.4061999999999999</v>
      </c>
      <c r="D88" s="7">
        <v>0</v>
      </c>
      <c r="E88" s="17"/>
      <c r="F88" s="8">
        <f>_25_3[[#This Row],[Corriente '[mA']]]/1000</f>
        <v>0</v>
      </c>
      <c r="G88" s="7">
        <v>0</v>
      </c>
      <c r="H88" s="9">
        <f>_25_3[[#This Row],[Potencia '[mW']]]/100000</f>
        <v>0</v>
      </c>
      <c r="I88" s="7">
        <v>0</v>
      </c>
      <c r="J88" s="24">
        <f t="shared" si="5"/>
        <v>0</v>
      </c>
      <c r="K88" s="2">
        <f t="shared" si="7"/>
        <v>0.35900863247863246</v>
      </c>
    </row>
    <row r="89" spans="1:11" ht="15" thickBot="1" x14ac:dyDescent="0.35">
      <c r="A89" s="18">
        <f>(A85-(A73-A68)-(A49-A44)-(A25-A20))/3600</f>
        <v>0.18888888888888888</v>
      </c>
      <c r="E89" s="15"/>
      <c r="F89" s="18">
        <f>AVERAGEIF(_25_3[Corriente '[mA']2],"&gt;0")</f>
        <v>387.72932307692304</v>
      </c>
      <c r="J89" s="20">
        <f>_25_3[[#Totals],[Corriente '[mA']2]]*_25_3[[#Totals],[Tiempo '[s']]]</f>
        <v>73.237761025641021</v>
      </c>
      <c r="K89" s="21" t="s">
        <v>10</v>
      </c>
    </row>
    <row r="90" spans="1:11" ht="15.6" thickTop="1" thickBot="1" x14ac:dyDescent="0.35">
      <c r="J90" s="22">
        <f>SUM(_25_3[CmAh])</f>
        <v>70.006683333333385</v>
      </c>
      <c r="K90" s="23" t="s">
        <v>10</v>
      </c>
    </row>
    <row r="91" spans="1:11" ht="15" thickTop="1" x14ac:dyDescent="0.3">
      <c r="J91" s="26">
        <f>SUM(_25_3[CmAh2-3])</f>
        <v>69.971722521367525</v>
      </c>
      <c r="K91" s="25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3B76-F2F6-44AF-8754-C1B185263F2F}">
  <dimension ref="A1:M67"/>
  <sheetViews>
    <sheetView topLeftCell="A25" workbookViewId="0">
      <selection activeCell="H40" sqref="H40"/>
    </sheetView>
  </sheetViews>
  <sheetFormatPr baseColWidth="10" defaultRowHeight="14.4" x14ac:dyDescent="0.3"/>
  <cols>
    <col min="8" max="8" width="15.5546875" bestFit="1" customWidth="1"/>
    <col min="9" max="13" width="11.6640625" bestFit="1" customWidth="1"/>
  </cols>
  <sheetData>
    <row r="1" spans="1:13" x14ac:dyDescent="0.3">
      <c r="A1" t="s">
        <v>13</v>
      </c>
      <c r="H1" s="29" t="s">
        <v>19</v>
      </c>
      <c r="I1" s="29" t="s">
        <v>0</v>
      </c>
      <c r="J1" s="29" t="s">
        <v>1</v>
      </c>
      <c r="K1" s="29" t="s">
        <v>2</v>
      </c>
      <c r="L1" s="29" t="s">
        <v>3</v>
      </c>
      <c r="M1" s="29" t="s">
        <v>4</v>
      </c>
    </row>
    <row r="2" spans="1:13" x14ac:dyDescent="0.3">
      <c r="A2" s="27">
        <v>45989.671180555553</v>
      </c>
      <c r="B2">
        <v>2</v>
      </c>
      <c r="C2" s="28">
        <v>14025</v>
      </c>
      <c r="D2" t="s">
        <v>14</v>
      </c>
      <c r="E2" t="s">
        <v>15</v>
      </c>
      <c r="F2">
        <v>0</v>
      </c>
      <c r="H2" s="30">
        <v>45989.716111111113</v>
      </c>
      <c r="I2" s="29">
        <v>2</v>
      </c>
      <c r="J2" s="31">
        <v>12750</v>
      </c>
      <c r="K2" s="29" t="s">
        <v>14</v>
      </c>
      <c r="L2" s="29" t="s">
        <v>15</v>
      </c>
      <c r="M2" s="29">
        <v>0</v>
      </c>
    </row>
    <row r="3" spans="1:13" x14ac:dyDescent="0.3">
      <c r="A3" s="27">
        <v>45989.671296296299</v>
      </c>
      <c r="B3">
        <v>12</v>
      </c>
      <c r="C3" s="28">
        <v>13975</v>
      </c>
      <c r="D3" t="s">
        <v>14</v>
      </c>
      <c r="E3" t="s">
        <v>15</v>
      </c>
      <c r="F3">
        <v>0</v>
      </c>
      <c r="H3" s="30">
        <v>45989.716226851851</v>
      </c>
      <c r="I3" s="29">
        <v>12</v>
      </c>
      <c r="J3" s="31">
        <v>12762</v>
      </c>
      <c r="K3" s="29" t="s">
        <v>14</v>
      </c>
      <c r="L3" s="29" t="s">
        <v>15</v>
      </c>
      <c r="M3" s="29">
        <v>0</v>
      </c>
    </row>
    <row r="4" spans="1:13" x14ac:dyDescent="0.3">
      <c r="A4" s="27">
        <v>45989.671412037038</v>
      </c>
      <c r="B4">
        <v>22</v>
      </c>
      <c r="C4" s="28">
        <v>13975</v>
      </c>
      <c r="D4" t="s">
        <v>14</v>
      </c>
      <c r="E4" t="s">
        <v>15</v>
      </c>
      <c r="F4">
        <v>0</v>
      </c>
      <c r="H4" s="30">
        <v>45989.71634259259</v>
      </c>
      <c r="I4" s="29">
        <v>22</v>
      </c>
      <c r="J4" s="31">
        <v>12812</v>
      </c>
      <c r="K4" s="29" t="s">
        <v>14</v>
      </c>
      <c r="L4" s="29" t="s">
        <v>15</v>
      </c>
      <c r="M4" s="29">
        <v>0</v>
      </c>
    </row>
    <row r="5" spans="1:13" x14ac:dyDescent="0.3">
      <c r="A5" s="27">
        <v>45989.671527777777</v>
      </c>
      <c r="B5">
        <v>32</v>
      </c>
      <c r="C5" s="28">
        <v>13937</v>
      </c>
      <c r="D5" t="s">
        <v>14</v>
      </c>
      <c r="E5" t="s">
        <v>15</v>
      </c>
      <c r="F5">
        <v>0</v>
      </c>
      <c r="H5" s="30">
        <v>45989.716458333336</v>
      </c>
      <c r="I5" s="29">
        <v>32</v>
      </c>
      <c r="J5" s="31">
        <v>12775</v>
      </c>
      <c r="K5" s="29" t="s">
        <v>14</v>
      </c>
      <c r="L5" s="29" t="s">
        <v>15</v>
      </c>
      <c r="M5" s="29">
        <v>0</v>
      </c>
    </row>
    <row r="6" spans="1:13" x14ac:dyDescent="0.3">
      <c r="A6" s="27">
        <v>45989.671643518515</v>
      </c>
      <c r="B6">
        <v>42</v>
      </c>
      <c r="C6" s="28">
        <v>11087</v>
      </c>
      <c r="D6" s="28">
        <v>3732636</v>
      </c>
      <c r="E6" s="28">
        <v>413737365</v>
      </c>
      <c r="F6">
        <v>0</v>
      </c>
      <c r="H6" s="30">
        <v>45989.716574074075</v>
      </c>
      <c r="I6" s="29">
        <v>42</v>
      </c>
      <c r="J6" s="31">
        <v>12812</v>
      </c>
      <c r="K6" s="29" t="s">
        <v>14</v>
      </c>
      <c r="L6" s="29" t="s">
        <v>15</v>
      </c>
      <c r="M6" s="29">
        <v>0</v>
      </c>
    </row>
    <row r="7" spans="1:13" x14ac:dyDescent="0.3">
      <c r="A7" s="27">
        <v>45989.671759259261</v>
      </c>
      <c r="B7">
        <v>52</v>
      </c>
      <c r="C7" s="28">
        <v>10950</v>
      </c>
      <c r="D7" s="28">
        <v>3681638</v>
      </c>
      <c r="E7" s="28">
        <v>403737670</v>
      </c>
      <c r="F7">
        <v>0</v>
      </c>
      <c r="H7" s="30">
        <v>45989.716689814813</v>
      </c>
      <c r="I7" s="29">
        <v>52</v>
      </c>
      <c r="J7" s="31">
        <v>12775</v>
      </c>
      <c r="K7" s="29" t="s">
        <v>14</v>
      </c>
      <c r="L7" s="29" t="s">
        <v>15</v>
      </c>
      <c r="M7" s="29">
        <v>0</v>
      </c>
    </row>
    <row r="8" spans="1:13" x14ac:dyDescent="0.3">
      <c r="A8" s="27">
        <v>45989.671875</v>
      </c>
      <c r="B8">
        <v>62</v>
      </c>
      <c r="C8" s="28">
        <v>10875</v>
      </c>
      <c r="D8" s="28">
        <v>3650888</v>
      </c>
      <c r="E8" s="28">
        <v>397487854</v>
      </c>
      <c r="F8">
        <v>0</v>
      </c>
      <c r="H8" s="30">
        <v>45989.716805555552</v>
      </c>
      <c r="I8" s="29">
        <v>62</v>
      </c>
      <c r="J8" s="31">
        <v>12825</v>
      </c>
      <c r="K8" s="29" t="s">
        <v>14</v>
      </c>
      <c r="L8" s="29" t="s">
        <v>15</v>
      </c>
      <c r="M8" s="29">
        <v>0</v>
      </c>
    </row>
    <row r="9" spans="1:13" x14ac:dyDescent="0.3">
      <c r="A9" s="27">
        <v>45989.671990740739</v>
      </c>
      <c r="B9">
        <v>72</v>
      </c>
      <c r="C9" s="28">
        <v>10850</v>
      </c>
      <c r="D9" s="28">
        <v>3627639</v>
      </c>
      <c r="E9" s="28">
        <v>393113006</v>
      </c>
      <c r="F9">
        <v>0</v>
      </c>
      <c r="H9" s="30">
        <v>45989.716921296298</v>
      </c>
      <c r="I9" s="29">
        <v>72</v>
      </c>
      <c r="J9" s="31">
        <v>12787</v>
      </c>
      <c r="K9" s="29" t="s">
        <v>14</v>
      </c>
      <c r="L9" s="29" t="s">
        <v>15</v>
      </c>
      <c r="M9" s="29">
        <v>0</v>
      </c>
    </row>
    <row r="10" spans="1:13" x14ac:dyDescent="0.3">
      <c r="A10" s="27">
        <v>45989.672106481485</v>
      </c>
      <c r="B10">
        <v>82</v>
      </c>
      <c r="C10" s="28">
        <v>10800</v>
      </c>
      <c r="D10" s="28">
        <v>3609140</v>
      </c>
      <c r="E10" s="28">
        <v>389988098</v>
      </c>
      <c r="F10">
        <v>0</v>
      </c>
      <c r="H10" s="30">
        <v>45989.717037037037</v>
      </c>
      <c r="I10" s="29">
        <v>82</v>
      </c>
      <c r="J10" s="31">
        <v>12787</v>
      </c>
      <c r="K10" s="29" t="s">
        <v>14</v>
      </c>
      <c r="L10" s="29" t="s">
        <v>15</v>
      </c>
      <c r="M10" s="29">
        <v>0</v>
      </c>
    </row>
    <row r="11" spans="1:13" x14ac:dyDescent="0.3">
      <c r="A11" s="27">
        <v>45989.672222222223</v>
      </c>
      <c r="B11">
        <v>92</v>
      </c>
      <c r="C11" s="28">
        <v>10750</v>
      </c>
      <c r="D11" s="28">
        <v>3593140</v>
      </c>
      <c r="E11" s="28">
        <v>386238220</v>
      </c>
      <c r="F11">
        <v>0</v>
      </c>
      <c r="H11" s="30">
        <v>45989.717152777775</v>
      </c>
      <c r="I11" s="29">
        <v>92</v>
      </c>
      <c r="J11" s="31">
        <v>12787</v>
      </c>
      <c r="K11" s="29" t="s">
        <v>14</v>
      </c>
      <c r="L11" s="29" t="s">
        <v>15</v>
      </c>
      <c r="M11" s="29">
        <v>0</v>
      </c>
    </row>
    <row r="12" spans="1:13" x14ac:dyDescent="0.3">
      <c r="A12" s="27">
        <v>45989.672337962962</v>
      </c>
      <c r="B12">
        <v>102</v>
      </c>
      <c r="C12" s="28">
        <v>10700</v>
      </c>
      <c r="D12" s="28">
        <v>3579141</v>
      </c>
      <c r="E12" s="28">
        <v>383113311</v>
      </c>
      <c r="F12">
        <v>0</v>
      </c>
      <c r="H12" s="30">
        <v>45989.717268518521</v>
      </c>
      <c r="I12" s="29">
        <v>102</v>
      </c>
      <c r="J12" s="29" t="s">
        <v>20</v>
      </c>
      <c r="K12" s="31">
        <v>3316149</v>
      </c>
      <c r="L12" s="31">
        <v>319365264</v>
      </c>
      <c r="M12" s="29">
        <v>0</v>
      </c>
    </row>
    <row r="13" spans="1:13" x14ac:dyDescent="0.3">
      <c r="A13" s="27">
        <v>45989.672453703701</v>
      </c>
      <c r="B13">
        <v>112</v>
      </c>
      <c r="C13" s="28">
        <v>10662</v>
      </c>
      <c r="D13" s="28">
        <v>3566141</v>
      </c>
      <c r="E13" s="28">
        <v>379988403</v>
      </c>
      <c r="F13">
        <v>0</v>
      </c>
      <c r="H13" s="30">
        <v>45989.71738425926</v>
      </c>
      <c r="I13" s="29">
        <v>112</v>
      </c>
      <c r="J13" s="29" t="s">
        <v>21</v>
      </c>
      <c r="K13" s="31">
        <v>3226902</v>
      </c>
      <c r="L13" s="31">
        <v>303740722</v>
      </c>
      <c r="M13" s="29">
        <v>0</v>
      </c>
    </row>
    <row r="14" spans="1:13" x14ac:dyDescent="0.3">
      <c r="A14" s="27">
        <v>45989.672569444447</v>
      </c>
      <c r="B14">
        <v>122</v>
      </c>
      <c r="C14" s="28">
        <v>10625</v>
      </c>
      <c r="D14" s="28">
        <v>3554891</v>
      </c>
      <c r="E14" s="28">
        <v>378113464</v>
      </c>
      <c r="F14">
        <v>0</v>
      </c>
      <c r="H14" s="30">
        <v>45989.717511574076</v>
      </c>
      <c r="I14" s="29">
        <v>122</v>
      </c>
      <c r="J14" s="29" t="s">
        <v>22</v>
      </c>
      <c r="K14" s="31">
        <v>3167403</v>
      </c>
      <c r="L14" s="31">
        <v>291241119</v>
      </c>
      <c r="M14" s="29">
        <v>0</v>
      </c>
    </row>
    <row r="15" spans="1:13" x14ac:dyDescent="0.3">
      <c r="A15" s="27">
        <v>45989.672685185185</v>
      </c>
      <c r="B15">
        <v>132</v>
      </c>
      <c r="C15" s="28">
        <v>10600</v>
      </c>
      <c r="D15" s="28">
        <v>3544392</v>
      </c>
      <c r="E15" s="28">
        <v>375613525</v>
      </c>
      <c r="F15">
        <v>0</v>
      </c>
      <c r="H15" s="30">
        <v>45989.717627314814</v>
      </c>
      <c r="I15" s="29">
        <v>132</v>
      </c>
      <c r="J15" s="29" t="s">
        <v>23</v>
      </c>
      <c r="K15" s="31">
        <v>3112405</v>
      </c>
      <c r="L15" s="31">
        <v>281241424</v>
      </c>
      <c r="M15" s="29">
        <v>0</v>
      </c>
    </row>
    <row r="16" spans="1:13" x14ac:dyDescent="0.3">
      <c r="A16" s="27">
        <v>45989.672800925924</v>
      </c>
      <c r="B16">
        <v>142</v>
      </c>
      <c r="C16" s="28">
        <v>10575</v>
      </c>
      <c r="D16" s="28">
        <v>3534642</v>
      </c>
      <c r="E16" s="28">
        <v>373738586</v>
      </c>
      <c r="F16">
        <v>0</v>
      </c>
      <c r="H16" s="30">
        <v>45989.717743055553</v>
      </c>
      <c r="I16" s="29">
        <v>142</v>
      </c>
      <c r="J16" s="29" t="s">
        <v>24</v>
      </c>
      <c r="K16" s="31">
        <v>3053657</v>
      </c>
      <c r="L16" s="31">
        <v>270616729</v>
      </c>
      <c r="M16" s="29">
        <v>0</v>
      </c>
    </row>
    <row r="17" spans="1:13" x14ac:dyDescent="0.3">
      <c r="A17" s="27">
        <v>45989.67291666667</v>
      </c>
      <c r="B17">
        <v>152</v>
      </c>
      <c r="C17" s="28">
        <v>10537</v>
      </c>
      <c r="D17" s="28">
        <v>3525393</v>
      </c>
      <c r="E17" s="28">
        <v>371863647</v>
      </c>
      <c r="F17">
        <v>0</v>
      </c>
      <c r="H17" s="30">
        <v>45989.717858796299</v>
      </c>
      <c r="I17" s="29">
        <v>152</v>
      </c>
      <c r="J17" s="29" t="s">
        <v>25</v>
      </c>
      <c r="K17" s="31">
        <v>3014408</v>
      </c>
      <c r="L17" s="31">
        <v>264366943</v>
      </c>
      <c r="M17" s="29">
        <v>0</v>
      </c>
    </row>
    <row r="18" spans="1:13" x14ac:dyDescent="0.3">
      <c r="A18" s="27">
        <v>45989.673032407409</v>
      </c>
      <c r="B18">
        <v>162</v>
      </c>
      <c r="C18" s="28">
        <v>10512</v>
      </c>
      <c r="D18" s="28">
        <v>3516893</v>
      </c>
      <c r="E18" s="28">
        <v>369363739</v>
      </c>
      <c r="F18">
        <v>0</v>
      </c>
      <c r="H18" s="30">
        <v>45989.717974537038</v>
      </c>
      <c r="I18" s="29">
        <v>162</v>
      </c>
      <c r="J18" s="29" t="s">
        <v>26</v>
      </c>
      <c r="K18" s="31">
        <v>2993659</v>
      </c>
      <c r="L18" s="31">
        <v>259992065</v>
      </c>
      <c r="M18" s="29">
        <v>0</v>
      </c>
    </row>
    <row r="19" spans="1:13" x14ac:dyDescent="0.3">
      <c r="A19" s="27">
        <v>45989.673148148147</v>
      </c>
      <c r="B19">
        <v>172</v>
      </c>
      <c r="C19" s="28">
        <v>10487</v>
      </c>
      <c r="D19" s="28">
        <v>3509143</v>
      </c>
      <c r="E19" s="28">
        <v>367488769</v>
      </c>
      <c r="F19">
        <v>1</v>
      </c>
    </row>
    <row r="20" spans="1:13" x14ac:dyDescent="0.3">
      <c r="A20" s="27">
        <v>45989.673263888886</v>
      </c>
      <c r="B20">
        <v>182</v>
      </c>
      <c r="C20" s="28">
        <v>13200</v>
      </c>
      <c r="D20" t="s">
        <v>14</v>
      </c>
      <c r="E20" t="s">
        <v>15</v>
      </c>
      <c r="F20">
        <v>1</v>
      </c>
    </row>
    <row r="21" spans="1:13" x14ac:dyDescent="0.3">
      <c r="A21" s="27">
        <v>45989.673379629632</v>
      </c>
      <c r="B21">
        <v>192</v>
      </c>
      <c r="C21" s="28">
        <v>13312</v>
      </c>
      <c r="D21" t="s">
        <v>14</v>
      </c>
      <c r="E21" t="s">
        <v>15</v>
      </c>
      <c r="F21">
        <v>1</v>
      </c>
    </row>
    <row r="22" spans="1:13" x14ac:dyDescent="0.3">
      <c r="A22" s="27">
        <v>45989.673495370371</v>
      </c>
      <c r="B22">
        <v>202</v>
      </c>
      <c r="C22" s="28">
        <v>13375</v>
      </c>
      <c r="D22" t="s">
        <v>14</v>
      </c>
      <c r="E22" t="s">
        <v>15</v>
      </c>
      <c r="F22">
        <v>1</v>
      </c>
    </row>
    <row r="23" spans="1:13" x14ac:dyDescent="0.3">
      <c r="A23" s="27">
        <v>45989.673611111109</v>
      </c>
      <c r="B23">
        <v>212</v>
      </c>
      <c r="C23" s="28">
        <v>13425</v>
      </c>
      <c r="D23" t="s">
        <v>14</v>
      </c>
      <c r="E23" t="s">
        <v>15</v>
      </c>
      <c r="F23">
        <v>1</v>
      </c>
    </row>
    <row r="24" spans="1:13" x14ac:dyDescent="0.3">
      <c r="A24" s="27">
        <v>45989.673726851855</v>
      </c>
      <c r="B24">
        <v>222</v>
      </c>
      <c r="C24" s="28">
        <v>13462</v>
      </c>
      <c r="D24" t="s">
        <v>14</v>
      </c>
      <c r="E24" t="s">
        <v>15</v>
      </c>
      <c r="F24">
        <v>1</v>
      </c>
    </row>
    <row r="25" spans="1:13" x14ac:dyDescent="0.3">
      <c r="A25" s="27">
        <v>45989.673842592594</v>
      </c>
      <c r="B25">
        <v>232</v>
      </c>
      <c r="C25" s="28">
        <v>13487</v>
      </c>
      <c r="D25" t="s">
        <v>14</v>
      </c>
      <c r="E25" t="s">
        <v>15</v>
      </c>
      <c r="F25">
        <v>0</v>
      </c>
    </row>
    <row r="26" spans="1:13" x14ac:dyDescent="0.3">
      <c r="A26" s="27">
        <v>45989.673958333333</v>
      </c>
      <c r="B26">
        <v>242</v>
      </c>
      <c r="C26" s="28">
        <v>10700</v>
      </c>
      <c r="D26" s="28">
        <v>3578391</v>
      </c>
      <c r="E26" s="28">
        <v>383113311</v>
      </c>
      <c r="F26">
        <v>0</v>
      </c>
    </row>
    <row r="27" spans="1:13" x14ac:dyDescent="0.3">
      <c r="A27" s="27">
        <v>45989.674074074072</v>
      </c>
      <c r="B27">
        <v>252</v>
      </c>
      <c r="C27" s="28">
        <v>10600</v>
      </c>
      <c r="D27" s="28">
        <v>3545892</v>
      </c>
      <c r="E27" s="28">
        <v>375613525</v>
      </c>
      <c r="F27">
        <v>0</v>
      </c>
    </row>
    <row r="28" spans="1:13" x14ac:dyDescent="0.3">
      <c r="A28" s="27">
        <v>45989.674189814818</v>
      </c>
      <c r="B28">
        <v>262</v>
      </c>
      <c r="C28" s="28">
        <v>10537</v>
      </c>
      <c r="D28" s="28">
        <v>3525142</v>
      </c>
      <c r="E28" s="28">
        <v>371863647</v>
      </c>
      <c r="F28">
        <v>0</v>
      </c>
    </row>
    <row r="29" spans="1:13" x14ac:dyDescent="0.3">
      <c r="A29" s="27">
        <v>45989.674305555556</v>
      </c>
      <c r="B29">
        <v>272</v>
      </c>
      <c r="C29" s="28">
        <v>10487</v>
      </c>
      <c r="D29" s="28">
        <v>3509643</v>
      </c>
      <c r="E29" s="28">
        <v>367488769</v>
      </c>
      <c r="F29">
        <v>0</v>
      </c>
    </row>
    <row r="30" spans="1:13" x14ac:dyDescent="0.3">
      <c r="A30" s="27">
        <v>45989.674421296295</v>
      </c>
      <c r="B30">
        <v>282</v>
      </c>
      <c r="C30" s="28">
        <v>10450</v>
      </c>
      <c r="D30" s="28">
        <v>3497143</v>
      </c>
      <c r="E30" s="28">
        <v>365613830</v>
      </c>
      <c r="F30">
        <v>0</v>
      </c>
    </row>
    <row r="31" spans="1:13" x14ac:dyDescent="0.3">
      <c r="A31" s="27">
        <v>45989.674537037034</v>
      </c>
      <c r="B31">
        <v>292</v>
      </c>
      <c r="C31" s="28">
        <v>10412</v>
      </c>
      <c r="D31" s="28">
        <v>3486643</v>
      </c>
      <c r="E31" s="28">
        <v>363113922</v>
      </c>
      <c r="F31">
        <v>0</v>
      </c>
    </row>
    <row r="32" spans="1:13" x14ac:dyDescent="0.3">
      <c r="A32" s="27">
        <v>45989.67465277778</v>
      </c>
      <c r="B32">
        <v>302</v>
      </c>
      <c r="C32" s="28">
        <v>10387</v>
      </c>
      <c r="D32" s="28">
        <v>3477144</v>
      </c>
      <c r="E32" s="28">
        <v>361238983</v>
      </c>
      <c r="F32">
        <v>0</v>
      </c>
    </row>
    <row r="33" spans="1:6" x14ac:dyDescent="0.3">
      <c r="A33" s="27">
        <v>45989.674768518518</v>
      </c>
      <c r="B33">
        <v>312</v>
      </c>
      <c r="C33" s="28">
        <v>10375</v>
      </c>
      <c r="D33" s="28">
        <v>3468644</v>
      </c>
      <c r="E33" s="28">
        <v>359364044</v>
      </c>
      <c r="F33">
        <v>0</v>
      </c>
    </row>
    <row r="34" spans="1:6" x14ac:dyDescent="0.3">
      <c r="A34" s="27">
        <v>45989.674884259257</v>
      </c>
      <c r="B34">
        <v>322</v>
      </c>
      <c r="C34" s="28">
        <v>10350</v>
      </c>
      <c r="D34" s="28">
        <v>3460894</v>
      </c>
      <c r="E34" s="28">
        <v>358114074</v>
      </c>
      <c r="F34">
        <v>0</v>
      </c>
    </row>
    <row r="35" spans="1:6" x14ac:dyDescent="0.3">
      <c r="A35" s="27">
        <v>45989.675000000003</v>
      </c>
      <c r="B35">
        <v>332</v>
      </c>
      <c r="C35" s="28">
        <v>10325</v>
      </c>
      <c r="D35" s="28">
        <v>3453395</v>
      </c>
      <c r="E35" s="28">
        <v>356239135</v>
      </c>
      <c r="F35">
        <v>0</v>
      </c>
    </row>
    <row r="36" spans="1:6" x14ac:dyDescent="0.3">
      <c r="A36" s="27">
        <v>45989.675115740742</v>
      </c>
      <c r="B36">
        <v>342</v>
      </c>
      <c r="C36" s="28">
        <v>10300</v>
      </c>
      <c r="D36" s="28">
        <v>3446895</v>
      </c>
      <c r="E36" s="28">
        <v>355614135</v>
      </c>
      <c r="F36">
        <v>0</v>
      </c>
    </row>
    <row r="37" spans="1:6" x14ac:dyDescent="0.3">
      <c r="A37" s="27">
        <v>45989.67523148148</v>
      </c>
      <c r="B37">
        <v>352</v>
      </c>
      <c r="C37" s="28">
        <v>10287</v>
      </c>
      <c r="D37" s="28">
        <v>3440395</v>
      </c>
      <c r="E37" s="28">
        <v>353739196</v>
      </c>
      <c r="F37">
        <v>0</v>
      </c>
    </row>
    <row r="38" spans="1:6" x14ac:dyDescent="0.3">
      <c r="A38" s="27">
        <v>45989.675347222219</v>
      </c>
      <c r="B38">
        <v>362</v>
      </c>
      <c r="C38" s="28">
        <v>10262</v>
      </c>
      <c r="D38" s="28">
        <v>3434145</v>
      </c>
      <c r="E38" s="28">
        <v>352489257</v>
      </c>
      <c r="F38">
        <v>0</v>
      </c>
    </row>
    <row r="39" spans="1:6" x14ac:dyDescent="0.3">
      <c r="A39" s="27">
        <v>45989.675462962965</v>
      </c>
      <c r="B39">
        <v>372</v>
      </c>
      <c r="C39" s="28">
        <v>10237</v>
      </c>
      <c r="D39" s="28">
        <v>3427895</v>
      </c>
      <c r="E39" s="28">
        <v>351239288</v>
      </c>
      <c r="F39">
        <v>0</v>
      </c>
    </row>
    <row r="40" spans="1:6" x14ac:dyDescent="0.3">
      <c r="A40" s="27">
        <v>45989.675578703704</v>
      </c>
      <c r="B40">
        <v>382</v>
      </c>
      <c r="C40" s="28">
        <v>10225</v>
      </c>
      <c r="D40" s="28">
        <v>3422145</v>
      </c>
      <c r="E40" s="28">
        <v>349989318</v>
      </c>
      <c r="F40">
        <v>0</v>
      </c>
    </row>
    <row r="41" spans="1:6" x14ac:dyDescent="0.3">
      <c r="A41" s="27">
        <v>45989.675694444442</v>
      </c>
      <c r="B41">
        <v>392</v>
      </c>
      <c r="C41" s="28">
        <v>10212</v>
      </c>
      <c r="D41" s="28">
        <v>3416396</v>
      </c>
      <c r="E41" s="28">
        <v>348739349</v>
      </c>
      <c r="F41">
        <v>0</v>
      </c>
    </row>
    <row r="42" spans="1:6" x14ac:dyDescent="0.3">
      <c r="A42" s="27">
        <v>45989.675810185188</v>
      </c>
      <c r="B42">
        <v>402</v>
      </c>
      <c r="C42" s="28">
        <v>10187</v>
      </c>
      <c r="D42" s="28">
        <v>3410896</v>
      </c>
      <c r="E42" s="28">
        <v>347489379</v>
      </c>
      <c r="F42">
        <v>0</v>
      </c>
    </row>
    <row r="43" spans="1:6" x14ac:dyDescent="0.3">
      <c r="A43" s="27">
        <v>45989.675925925927</v>
      </c>
      <c r="B43">
        <v>412</v>
      </c>
      <c r="C43" s="28">
        <v>10175</v>
      </c>
      <c r="D43" s="28">
        <v>3405646</v>
      </c>
      <c r="E43" s="28">
        <v>346239440</v>
      </c>
      <c r="F43">
        <v>1</v>
      </c>
    </row>
    <row r="44" spans="1:6" x14ac:dyDescent="0.3">
      <c r="A44" s="27">
        <v>45989.676041666666</v>
      </c>
      <c r="B44">
        <v>422</v>
      </c>
      <c r="C44" s="28">
        <v>12887</v>
      </c>
      <c r="D44" t="s">
        <v>14</v>
      </c>
      <c r="E44" t="s">
        <v>15</v>
      </c>
      <c r="F44">
        <v>1</v>
      </c>
    </row>
    <row r="45" spans="1:6" x14ac:dyDescent="0.3">
      <c r="A45" s="27">
        <v>45989.676157407404</v>
      </c>
      <c r="B45">
        <v>432</v>
      </c>
      <c r="C45" s="28">
        <v>13000</v>
      </c>
      <c r="D45" t="s">
        <v>14</v>
      </c>
      <c r="E45" t="s">
        <v>15</v>
      </c>
      <c r="F45">
        <v>1</v>
      </c>
    </row>
    <row r="46" spans="1:6" x14ac:dyDescent="0.3">
      <c r="A46" s="27">
        <v>45989.67627314815</v>
      </c>
      <c r="B46">
        <v>442</v>
      </c>
      <c r="C46" s="28">
        <v>13062</v>
      </c>
      <c r="D46" t="s">
        <v>14</v>
      </c>
      <c r="E46" t="s">
        <v>15</v>
      </c>
      <c r="F46">
        <v>1</v>
      </c>
    </row>
    <row r="47" spans="1:6" x14ac:dyDescent="0.3">
      <c r="A47" s="27">
        <v>45989.676388888889</v>
      </c>
      <c r="B47">
        <v>452</v>
      </c>
      <c r="C47" s="28">
        <v>13112</v>
      </c>
      <c r="D47" t="s">
        <v>14</v>
      </c>
      <c r="E47" t="s">
        <v>15</v>
      </c>
      <c r="F47">
        <v>1</v>
      </c>
    </row>
    <row r="48" spans="1:6" x14ac:dyDescent="0.3">
      <c r="A48" s="27">
        <v>45989.676504629628</v>
      </c>
      <c r="B48">
        <v>462</v>
      </c>
      <c r="C48" s="28">
        <v>13150</v>
      </c>
      <c r="D48" t="s">
        <v>14</v>
      </c>
      <c r="E48" t="s">
        <v>15</v>
      </c>
      <c r="F48">
        <v>1</v>
      </c>
    </row>
    <row r="49" spans="1:6" x14ac:dyDescent="0.3">
      <c r="A49" s="27">
        <v>45989.676620370374</v>
      </c>
      <c r="B49">
        <v>472</v>
      </c>
      <c r="C49" s="28">
        <v>13187</v>
      </c>
      <c r="D49" t="s">
        <v>14</v>
      </c>
      <c r="E49" t="s">
        <v>15</v>
      </c>
      <c r="F49">
        <v>0</v>
      </c>
    </row>
    <row r="50" spans="1:6" x14ac:dyDescent="0.3">
      <c r="A50" s="27">
        <v>45989.676736111112</v>
      </c>
      <c r="B50">
        <v>482</v>
      </c>
      <c r="C50" s="28">
        <v>10412</v>
      </c>
      <c r="D50" s="28">
        <v>3484394</v>
      </c>
      <c r="E50" s="28">
        <v>362488952</v>
      </c>
      <c r="F50">
        <v>0</v>
      </c>
    </row>
    <row r="51" spans="1:6" x14ac:dyDescent="0.3">
      <c r="A51" s="27">
        <v>45989.676851851851</v>
      </c>
      <c r="B51">
        <v>492</v>
      </c>
      <c r="C51" s="28">
        <v>10312</v>
      </c>
      <c r="D51" s="28">
        <v>3451645</v>
      </c>
      <c r="E51" s="28">
        <v>356239135</v>
      </c>
      <c r="F51">
        <v>0</v>
      </c>
    </row>
    <row r="52" spans="1:6" x14ac:dyDescent="0.3">
      <c r="A52" s="27">
        <v>45989.67696759259</v>
      </c>
      <c r="B52">
        <v>502</v>
      </c>
      <c r="C52" s="28">
        <v>10250</v>
      </c>
      <c r="D52" s="28">
        <v>3431645</v>
      </c>
      <c r="E52" s="28">
        <v>351239288</v>
      </c>
      <c r="F52">
        <v>0</v>
      </c>
    </row>
    <row r="53" spans="1:6" x14ac:dyDescent="0.3">
      <c r="A53" s="27">
        <v>45989.677083333336</v>
      </c>
      <c r="B53">
        <v>512</v>
      </c>
      <c r="C53" s="28">
        <v>10200</v>
      </c>
      <c r="D53" s="28">
        <v>3417396</v>
      </c>
      <c r="E53" s="28">
        <v>348739349</v>
      </c>
      <c r="F53">
        <v>0</v>
      </c>
    </row>
    <row r="54" spans="1:6" x14ac:dyDescent="0.3">
      <c r="A54" s="27">
        <v>45989.677199074074</v>
      </c>
      <c r="B54">
        <v>522</v>
      </c>
      <c r="C54" s="28">
        <v>10175</v>
      </c>
      <c r="D54" s="28">
        <v>3406146</v>
      </c>
      <c r="E54" s="28">
        <v>346239440</v>
      </c>
      <c r="F54">
        <v>0</v>
      </c>
    </row>
    <row r="55" spans="1:6" x14ac:dyDescent="0.3">
      <c r="A55" s="27">
        <v>45989.677314814813</v>
      </c>
      <c r="B55">
        <v>532</v>
      </c>
      <c r="C55" s="28">
        <v>10150</v>
      </c>
      <c r="D55" s="28">
        <v>3396896</v>
      </c>
      <c r="E55" s="28">
        <v>344989471</v>
      </c>
      <c r="F55">
        <v>0</v>
      </c>
    </row>
    <row r="56" spans="1:6" x14ac:dyDescent="0.3">
      <c r="A56" s="27">
        <v>45989.677430555559</v>
      </c>
      <c r="B56">
        <v>542</v>
      </c>
      <c r="C56" s="28">
        <v>10125</v>
      </c>
      <c r="D56" s="28">
        <v>3388897</v>
      </c>
      <c r="E56" s="28">
        <v>343114532</v>
      </c>
      <c r="F56">
        <v>0</v>
      </c>
    </row>
    <row r="57" spans="1:6" x14ac:dyDescent="0.3">
      <c r="A57" s="27">
        <v>45989.677546296298</v>
      </c>
      <c r="B57">
        <v>552</v>
      </c>
      <c r="C57" s="28">
        <v>10100</v>
      </c>
      <c r="D57" s="28">
        <v>3381647</v>
      </c>
      <c r="E57" s="28">
        <v>341864562</v>
      </c>
      <c r="F57">
        <v>0</v>
      </c>
    </row>
    <row r="58" spans="1:6" x14ac:dyDescent="0.3">
      <c r="A58" s="27">
        <v>45989.677662037036</v>
      </c>
      <c r="B58">
        <v>562</v>
      </c>
      <c r="C58" s="28">
        <v>10087</v>
      </c>
      <c r="D58" s="28">
        <v>3375147</v>
      </c>
      <c r="E58" s="28">
        <v>339989624</v>
      </c>
      <c r="F58">
        <v>0</v>
      </c>
    </row>
    <row r="59" spans="1:6" x14ac:dyDescent="0.3">
      <c r="A59" s="27">
        <v>45989.677777777775</v>
      </c>
      <c r="B59">
        <v>572</v>
      </c>
      <c r="C59" s="28">
        <v>10062</v>
      </c>
      <c r="D59" s="28">
        <v>3369147</v>
      </c>
      <c r="E59" s="28">
        <v>338739654</v>
      </c>
      <c r="F59">
        <v>0</v>
      </c>
    </row>
    <row r="60" spans="1:6" x14ac:dyDescent="0.3">
      <c r="A60" s="27">
        <v>45989.677893518521</v>
      </c>
      <c r="B60">
        <v>582</v>
      </c>
      <c r="C60" s="28">
        <v>10050</v>
      </c>
      <c r="D60" s="28">
        <v>3363397</v>
      </c>
      <c r="E60" s="28">
        <v>338114685</v>
      </c>
      <c r="F60">
        <v>0</v>
      </c>
    </row>
    <row r="61" spans="1:6" x14ac:dyDescent="0.3">
      <c r="A61" s="27">
        <v>45989.67800925926</v>
      </c>
      <c r="B61">
        <v>592</v>
      </c>
      <c r="C61" s="28">
        <v>10025</v>
      </c>
      <c r="D61" s="28">
        <v>3357897</v>
      </c>
      <c r="E61" s="28">
        <v>336864715</v>
      </c>
      <c r="F61">
        <v>0</v>
      </c>
    </row>
    <row r="62" spans="1:6" x14ac:dyDescent="0.3">
      <c r="A62" s="27">
        <v>45989.678124999999</v>
      </c>
      <c r="B62">
        <v>602</v>
      </c>
      <c r="C62" s="28">
        <v>10012</v>
      </c>
      <c r="D62" s="28">
        <v>3352898</v>
      </c>
      <c r="E62" s="28">
        <v>335614746</v>
      </c>
      <c r="F62">
        <v>0</v>
      </c>
    </row>
    <row r="63" spans="1:6" x14ac:dyDescent="0.3">
      <c r="A63" s="27">
        <v>45989.678240740737</v>
      </c>
      <c r="B63">
        <v>612</v>
      </c>
      <c r="C63" s="28">
        <v>10000</v>
      </c>
      <c r="D63" s="28">
        <v>3347898</v>
      </c>
      <c r="E63" s="28">
        <v>334364807</v>
      </c>
      <c r="F63">
        <v>0</v>
      </c>
    </row>
    <row r="64" spans="1:6" x14ac:dyDescent="0.3">
      <c r="A64" s="27">
        <v>45989.678356481483</v>
      </c>
      <c r="B64">
        <v>622</v>
      </c>
      <c r="C64" t="s">
        <v>16</v>
      </c>
      <c r="D64" s="28">
        <v>3342898</v>
      </c>
      <c r="E64" s="28">
        <v>333739807</v>
      </c>
      <c r="F64">
        <v>0</v>
      </c>
    </row>
    <row r="65" spans="1:6" x14ac:dyDescent="0.3">
      <c r="A65" s="27">
        <v>45989.678472222222</v>
      </c>
      <c r="B65">
        <v>632</v>
      </c>
      <c r="C65" t="s">
        <v>17</v>
      </c>
      <c r="D65" s="28">
        <v>3337898</v>
      </c>
      <c r="E65" s="28">
        <v>332489868</v>
      </c>
      <c r="F65">
        <v>0</v>
      </c>
    </row>
    <row r="66" spans="1:6" x14ac:dyDescent="0.3">
      <c r="A66" s="27">
        <v>45989.678587962961</v>
      </c>
      <c r="B66">
        <v>642</v>
      </c>
      <c r="C66" t="s">
        <v>18</v>
      </c>
      <c r="D66" s="28">
        <v>3333148</v>
      </c>
      <c r="E66" s="28">
        <v>331864868</v>
      </c>
      <c r="F66">
        <v>0</v>
      </c>
    </row>
    <row r="67" spans="1:6" x14ac:dyDescent="0.3">
      <c r="A67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C399-633E-49B3-B162-3440330C02C6}">
  <dimension ref="A1:H1311"/>
  <sheetViews>
    <sheetView workbookViewId="0">
      <pane ySplit="1" topLeftCell="A1295" activePane="bottomLeft" state="frozen"/>
      <selection pane="bottomLeft" activeCell="C381" sqref="C381"/>
    </sheetView>
  </sheetViews>
  <sheetFormatPr baseColWidth="10" defaultRowHeight="14.4" x14ac:dyDescent="0.3"/>
  <cols>
    <col min="1" max="1" width="18.44140625" style="32" customWidth="1"/>
    <col min="2" max="2" width="8.33203125" style="5" customWidth="1"/>
    <col min="3" max="3" width="9.5546875" style="3" customWidth="1"/>
    <col min="4" max="4" width="11.5546875" style="15"/>
    <col min="5" max="5" width="11.5546875" style="4"/>
    <col min="6" max="6" width="11" style="5" customWidth="1"/>
    <col min="7" max="16384" width="11.5546875" style="5"/>
  </cols>
  <sheetData>
    <row r="1" spans="1:8" s="14" customFormat="1" ht="43.2" x14ac:dyDescent="0.3">
      <c r="A1" s="38" t="s">
        <v>27</v>
      </c>
      <c r="B1" s="39" t="s">
        <v>28</v>
      </c>
      <c r="C1" s="40" t="s">
        <v>29</v>
      </c>
      <c r="D1" s="41" t="s">
        <v>30</v>
      </c>
      <c r="E1" s="42" t="s">
        <v>31</v>
      </c>
      <c r="F1" s="39" t="s">
        <v>32</v>
      </c>
      <c r="G1" s="44" t="s">
        <v>12</v>
      </c>
      <c r="H1" s="45" t="s">
        <v>11</v>
      </c>
    </row>
    <row r="2" spans="1:8" x14ac:dyDescent="0.3">
      <c r="A2" s="33">
        <v>45990.606388888889</v>
      </c>
      <c r="B2" s="34">
        <v>10</v>
      </c>
      <c r="C2" s="35">
        <v>1.56</v>
      </c>
      <c r="D2" s="36">
        <v>0</v>
      </c>
      <c r="E2" s="37">
        <v>0</v>
      </c>
      <c r="F2" s="34">
        <v>0</v>
      </c>
      <c r="G2" s="48"/>
    </row>
    <row r="3" spans="1:8" x14ac:dyDescent="0.3">
      <c r="A3" s="33">
        <v>45990.606504629628</v>
      </c>
      <c r="B3" s="34">
        <v>20</v>
      </c>
      <c r="C3" s="35">
        <v>1.56</v>
      </c>
      <c r="D3" s="36">
        <v>0</v>
      </c>
      <c r="E3" s="37">
        <v>0</v>
      </c>
      <c r="F3" s="34">
        <v>0</v>
      </c>
      <c r="G3" s="48"/>
    </row>
    <row r="4" spans="1:8" x14ac:dyDescent="0.3">
      <c r="A4" s="33">
        <v>45990.606620370374</v>
      </c>
      <c r="B4" s="34">
        <v>30</v>
      </c>
      <c r="C4" s="35">
        <v>1.56</v>
      </c>
      <c r="D4" s="36">
        <v>0</v>
      </c>
      <c r="E4" s="37">
        <v>0</v>
      </c>
      <c r="F4" s="34">
        <v>0</v>
      </c>
      <c r="G4" s="48"/>
    </row>
    <row r="5" spans="1:8" x14ac:dyDescent="0.3">
      <c r="A5" s="33">
        <v>45990.606736111113</v>
      </c>
      <c r="B5" s="34">
        <v>40</v>
      </c>
      <c r="C5" s="35">
        <v>1.2437</v>
      </c>
      <c r="D5" s="36">
        <v>415.26229999999998</v>
      </c>
      <c r="E5" s="37">
        <v>516.23424999999997</v>
      </c>
      <c r="F5" s="34">
        <v>0</v>
      </c>
      <c r="G5" s="48">
        <f>($B$2/3600)*(D4+D5)/2</f>
        <v>0.57675319444444439</v>
      </c>
    </row>
    <row r="6" spans="1:8" x14ac:dyDescent="0.3">
      <c r="A6" s="33">
        <v>45990.606851851851</v>
      </c>
      <c r="B6" s="34">
        <v>50</v>
      </c>
      <c r="C6" s="35">
        <v>1.2324999999999999</v>
      </c>
      <c r="D6" s="36">
        <v>411.7124</v>
      </c>
      <c r="E6" s="37">
        <v>507.48450000000003</v>
      </c>
      <c r="F6" s="34">
        <v>0</v>
      </c>
      <c r="G6" s="48">
        <f t="shared" ref="G6:G69" si="0">($B$2/3600)*(D5+D6)/2</f>
        <v>1.1485759722222222</v>
      </c>
    </row>
    <row r="7" spans="1:8" x14ac:dyDescent="0.3">
      <c r="A7" s="33">
        <v>45990.60696759259</v>
      </c>
      <c r="B7" s="34">
        <v>60</v>
      </c>
      <c r="C7" s="35">
        <v>1.2250000000000001</v>
      </c>
      <c r="D7" s="36">
        <v>409.4375</v>
      </c>
      <c r="E7" s="37">
        <v>501.85968000000003</v>
      </c>
      <c r="F7" s="34">
        <v>0</v>
      </c>
      <c r="G7" s="48">
        <f t="shared" si="0"/>
        <v>1.1404859722222223</v>
      </c>
    </row>
    <row r="8" spans="1:8" x14ac:dyDescent="0.3">
      <c r="A8" s="33">
        <v>45990.607083333336</v>
      </c>
      <c r="B8" s="34">
        <v>70</v>
      </c>
      <c r="C8" s="35">
        <v>1.22</v>
      </c>
      <c r="D8" s="36">
        <v>407.51249999999999</v>
      </c>
      <c r="E8" s="37">
        <v>496.85982999999999</v>
      </c>
      <c r="F8" s="34">
        <v>0</v>
      </c>
      <c r="G8" s="48">
        <f t="shared" si="0"/>
        <v>1.134652777777778</v>
      </c>
    </row>
    <row r="9" spans="1:8" x14ac:dyDescent="0.3">
      <c r="A9" s="33">
        <v>45990.607199074075</v>
      </c>
      <c r="B9" s="34">
        <v>80</v>
      </c>
      <c r="C9" s="35">
        <v>1.2150000000000001</v>
      </c>
      <c r="D9" s="36">
        <v>406.11259999999999</v>
      </c>
      <c r="E9" s="37">
        <v>493.10995000000003</v>
      </c>
      <c r="F9" s="34">
        <v>0</v>
      </c>
      <c r="G9" s="48">
        <f t="shared" si="0"/>
        <v>1.1300348611111111</v>
      </c>
    </row>
    <row r="10" spans="1:8" x14ac:dyDescent="0.3">
      <c r="A10" s="33">
        <v>45990.607314814813</v>
      </c>
      <c r="B10" s="34">
        <v>90</v>
      </c>
      <c r="C10" s="35">
        <v>1.2112000000000001</v>
      </c>
      <c r="D10" s="36">
        <v>404.73759999999999</v>
      </c>
      <c r="E10" s="37">
        <v>489.98505</v>
      </c>
      <c r="F10" s="34">
        <v>0</v>
      </c>
      <c r="G10" s="48">
        <f t="shared" si="0"/>
        <v>1.1261808333333334</v>
      </c>
    </row>
    <row r="11" spans="1:8" x14ac:dyDescent="0.3">
      <c r="A11" s="33">
        <v>45990.607430555552</v>
      </c>
      <c r="B11" s="34">
        <v>100</v>
      </c>
      <c r="C11" s="35">
        <v>1.2061999999999999</v>
      </c>
      <c r="D11" s="36">
        <v>403.48770000000002</v>
      </c>
      <c r="E11" s="37">
        <v>486.23516999999998</v>
      </c>
      <c r="F11" s="34">
        <v>0</v>
      </c>
      <c r="G11" s="48">
        <f t="shared" si="0"/>
        <v>1.1225351388888891</v>
      </c>
    </row>
    <row r="12" spans="1:8" x14ac:dyDescent="0.3">
      <c r="A12" s="33">
        <v>45990.607546296298</v>
      </c>
      <c r="B12" s="34">
        <v>110</v>
      </c>
      <c r="C12" s="35">
        <v>1.2038</v>
      </c>
      <c r="D12" s="36">
        <v>402.36270000000002</v>
      </c>
      <c r="E12" s="37">
        <v>483.73523</v>
      </c>
      <c r="F12" s="34">
        <v>0</v>
      </c>
      <c r="G12" s="48">
        <f t="shared" si="0"/>
        <v>1.1192366666666667</v>
      </c>
    </row>
    <row r="13" spans="1:8" x14ac:dyDescent="0.3">
      <c r="A13" s="33">
        <v>45990.607662037037</v>
      </c>
      <c r="B13" s="34">
        <v>120</v>
      </c>
      <c r="C13" s="35">
        <v>1.2</v>
      </c>
      <c r="D13" s="36">
        <v>401.33769999999998</v>
      </c>
      <c r="E13" s="37">
        <v>481.23532</v>
      </c>
      <c r="F13" s="34">
        <v>0</v>
      </c>
      <c r="G13" s="48">
        <f t="shared" si="0"/>
        <v>1.1162505555555555</v>
      </c>
    </row>
    <row r="14" spans="1:8" x14ac:dyDescent="0.3">
      <c r="A14" s="33">
        <v>45990.607777777775</v>
      </c>
      <c r="B14" s="34">
        <v>130</v>
      </c>
      <c r="C14" s="35">
        <v>1.1975</v>
      </c>
      <c r="D14" s="36">
        <v>400.46280000000002</v>
      </c>
      <c r="E14" s="37">
        <v>479.36038000000002</v>
      </c>
      <c r="F14" s="34">
        <v>0</v>
      </c>
      <c r="G14" s="48">
        <f t="shared" si="0"/>
        <v>1.1136118055555557</v>
      </c>
    </row>
    <row r="15" spans="1:8" x14ac:dyDescent="0.3">
      <c r="A15" s="33">
        <v>45990.607893518521</v>
      </c>
      <c r="B15" s="34">
        <v>140</v>
      </c>
      <c r="C15" s="35">
        <v>1.1950000000000001</v>
      </c>
      <c r="D15" s="36">
        <v>399.51280000000003</v>
      </c>
      <c r="E15" s="37">
        <v>477.48541</v>
      </c>
      <c r="F15" s="34">
        <v>0</v>
      </c>
      <c r="G15" s="48">
        <f t="shared" si="0"/>
        <v>1.1110772222222223</v>
      </c>
    </row>
    <row r="16" spans="1:8" x14ac:dyDescent="0.3">
      <c r="A16" s="33">
        <v>45990.60800925926</v>
      </c>
      <c r="B16" s="34">
        <v>150</v>
      </c>
      <c r="C16" s="35">
        <v>1.1912</v>
      </c>
      <c r="D16" s="36">
        <v>398.71280000000002</v>
      </c>
      <c r="E16" s="37">
        <v>474.9855</v>
      </c>
      <c r="F16" s="34">
        <v>0</v>
      </c>
      <c r="G16" s="48">
        <f t="shared" si="0"/>
        <v>1.1086466666666668</v>
      </c>
    </row>
    <row r="17" spans="1:7" x14ac:dyDescent="0.3">
      <c r="A17" s="33">
        <v>45990.608124999999</v>
      </c>
      <c r="B17" s="34">
        <v>160</v>
      </c>
      <c r="C17" s="35">
        <v>1.19</v>
      </c>
      <c r="D17" s="36">
        <v>397.93779999999998</v>
      </c>
      <c r="E17" s="37">
        <v>473.11057</v>
      </c>
      <c r="F17" s="34">
        <v>0</v>
      </c>
      <c r="G17" s="48">
        <f t="shared" si="0"/>
        <v>1.1064591666666665</v>
      </c>
    </row>
    <row r="18" spans="1:7" x14ac:dyDescent="0.3">
      <c r="A18" s="33">
        <v>45990.608240740738</v>
      </c>
      <c r="B18" s="34">
        <v>170</v>
      </c>
      <c r="C18" s="35">
        <v>1.1861999999999999</v>
      </c>
      <c r="D18" s="36">
        <v>397.08789999999999</v>
      </c>
      <c r="E18" s="37">
        <v>471.23563000000001</v>
      </c>
      <c r="F18" s="34">
        <v>0</v>
      </c>
      <c r="G18" s="48">
        <f t="shared" si="0"/>
        <v>1.1042023611111111</v>
      </c>
    </row>
    <row r="19" spans="1:7" x14ac:dyDescent="0.3">
      <c r="A19" s="33">
        <v>45990.608356481483</v>
      </c>
      <c r="B19" s="34">
        <v>180</v>
      </c>
      <c r="C19" s="35">
        <v>1.4261999999999999</v>
      </c>
      <c r="D19" s="36">
        <v>0</v>
      </c>
      <c r="E19" s="37">
        <v>0</v>
      </c>
      <c r="F19" s="34">
        <v>1</v>
      </c>
      <c r="G19" s="48">
        <f t="shared" si="0"/>
        <v>0.55151097222222223</v>
      </c>
    </row>
    <row r="20" spans="1:7" x14ac:dyDescent="0.3">
      <c r="A20" s="33">
        <v>45990.608472222222</v>
      </c>
      <c r="B20" s="34">
        <v>190</v>
      </c>
      <c r="C20" s="35">
        <v>1.4412</v>
      </c>
      <c r="D20" s="36">
        <v>0</v>
      </c>
      <c r="E20" s="37">
        <v>0</v>
      </c>
      <c r="F20" s="34">
        <v>1</v>
      </c>
      <c r="G20" s="48">
        <f t="shared" si="0"/>
        <v>0</v>
      </c>
    </row>
    <row r="21" spans="1:7" x14ac:dyDescent="0.3">
      <c r="A21" s="33">
        <v>45990.608587962961</v>
      </c>
      <c r="B21" s="34">
        <v>200</v>
      </c>
      <c r="C21" s="35">
        <v>1.45</v>
      </c>
      <c r="D21" s="36">
        <v>0</v>
      </c>
      <c r="E21" s="37">
        <v>0</v>
      </c>
      <c r="F21" s="34">
        <v>1</v>
      </c>
      <c r="G21" s="48">
        <f t="shared" si="0"/>
        <v>0</v>
      </c>
    </row>
    <row r="22" spans="1:7" x14ac:dyDescent="0.3">
      <c r="A22" s="33">
        <v>45990.608703703707</v>
      </c>
      <c r="B22" s="34">
        <v>210</v>
      </c>
      <c r="C22" s="35">
        <v>1.4575</v>
      </c>
      <c r="D22" s="36">
        <v>0</v>
      </c>
      <c r="E22" s="37">
        <v>0</v>
      </c>
      <c r="F22" s="34">
        <v>1</v>
      </c>
      <c r="G22" s="48">
        <f t="shared" si="0"/>
        <v>0</v>
      </c>
    </row>
    <row r="23" spans="1:7" x14ac:dyDescent="0.3">
      <c r="A23" s="33">
        <v>45990.608819444446</v>
      </c>
      <c r="B23" s="34">
        <v>220</v>
      </c>
      <c r="C23" s="35">
        <v>1.4612000000000001</v>
      </c>
      <c r="D23" s="36">
        <v>0</v>
      </c>
      <c r="E23" s="37">
        <v>0</v>
      </c>
      <c r="F23" s="34">
        <v>1</v>
      </c>
      <c r="G23" s="48">
        <f t="shared" si="0"/>
        <v>0</v>
      </c>
    </row>
    <row r="24" spans="1:7" x14ac:dyDescent="0.3">
      <c r="A24" s="33">
        <v>45990.608935185184</v>
      </c>
      <c r="B24" s="34">
        <v>230</v>
      </c>
      <c r="C24" s="35">
        <v>1.4661999999999999</v>
      </c>
      <c r="D24" s="36">
        <v>0</v>
      </c>
      <c r="E24" s="37">
        <v>0</v>
      </c>
      <c r="F24" s="34">
        <v>1</v>
      </c>
      <c r="G24" s="48">
        <f t="shared" si="0"/>
        <v>0</v>
      </c>
    </row>
    <row r="25" spans="1:7" x14ac:dyDescent="0.3">
      <c r="A25" s="33">
        <v>45990.609050925923</v>
      </c>
      <c r="B25" s="34">
        <v>240</v>
      </c>
      <c r="C25" s="35">
        <v>1.2161999999999999</v>
      </c>
      <c r="D25" s="36">
        <v>406.71260000000001</v>
      </c>
      <c r="E25" s="37">
        <v>494.35991999999999</v>
      </c>
      <c r="F25" s="34">
        <v>0</v>
      </c>
      <c r="G25" s="48">
        <f t="shared" si="0"/>
        <v>0.56487861111111115</v>
      </c>
    </row>
    <row r="26" spans="1:7" x14ac:dyDescent="0.3">
      <c r="A26" s="33">
        <v>45990.609166666669</v>
      </c>
      <c r="B26" s="34">
        <v>250</v>
      </c>
      <c r="C26" s="35">
        <v>1.2012</v>
      </c>
      <c r="D26" s="36">
        <v>402.11270000000002</v>
      </c>
      <c r="E26" s="37">
        <v>483.11025999999998</v>
      </c>
      <c r="F26" s="34">
        <v>0</v>
      </c>
      <c r="G26" s="48">
        <f t="shared" si="0"/>
        <v>1.1233684722222221</v>
      </c>
    </row>
    <row r="27" spans="1:7" x14ac:dyDescent="0.3">
      <c r="A27" s="33">
        <v>45990.609282407408</v>
      </c>
      <c r="B27" s="34">
        <v>260</v>
      </c>
      <c r="C27" s="35">
        <v>1.1950000000000001</v>
      </c>
      <c r="D27" s="36">
        <v>399.63780000000003</v>
      </c>
      <c r="E27" s="37">
        <v>477.48541</v>
      </c>
      <c r="F27" s="34">
        <v>0</v>
      </c>
      <c r="G27" s="48">
        <f t="shared" si="0"/>
        <v>1.1135423611111113</v>
      </c>
    </row>
    <row r="28" spans="1:7" x14ac:dyDescent="0.3">
      <c r="A28" s="33">
        <v>45990.609398148146</v>
      </c>
      <c r="B28" s="34">
        <v>270</v>
      </c>
      <c r="C28" s="35">
        <v>1.1888000000000001</v>
      </c>
      <c r="D28" s="36">
        <v>397.96280000000002</v>
      </c>
      <c r="E28" s="37">
        <v>473.11057</v>
      </c>
      <c r="F28" s="34">
        <v>0</v>
      </c>
      <c r="G28" s="48">
        <f t="shared" si="0"/>
        <v>1.1077786111111112</v>
      </c>
    </row>
    <row r="29" spans="1:7" x14ac:dyDescent="0.3">
      <c r="A29" s="33">
        <v>45990.609513888892</v>
      </c>
      <c r="B29" s="34">
        <v>280</v>
      </c>
      <c r="C29" s="35">
        <v>1.1850000000000001</v>
      </c>
      <c r="D29" s="36">
        <v>396.58789999999999</v>
      </c>
      <c r="E29" s="37">
        <v>469.36068999999998</v>
      </c>
      <c r="F29" s="34">
        <v>0</v>
      </c>
      <c r="G29" s="48">
        <f t="shared" si="0"/>
        <v>1.1035426388888889</v>
      </c>
    </row>
    <row r="30" spans="1:7" x14ac:dyDescent="0.3">
      <c r="A30" s="33">
        <v>45990.609629629631</v>
      </c>
      <c r="B30" s="34">
        <v>290</v>
      </c>
      <c r="C30" s="35">
        <v>1.1812</v>
      </c>
      <c r="D30" s="36">
        <v>395.43790000000001</v>
      </c>
      <c r="E30" s="37">
        <v>466.86075</v>
      </c>
      <c r="F30" s="34">
        <v>0</v>
      </c>
      <c r="G30" s="48">
        <f t="shared" si="0"/>
        <v>1.1000358333333333</v>
      </c>
    </row>
    <row r="31" spans="1:7" x14ac:dyDescent="0.3">
      <c r="A31" s="33">
        <v>45990.60974537037</v>
      </c>
      <c r="B31" s="34">
        <v>300</v>
      </c>
      <c r="C31" s="35">
        <v>1.1787000000000001</v>
      </c>
      <c r="D31" s="36">
        <v>394.46300000000002</v>
      </c>
      <c r="E31" s="37">
        <v>464.98581000000001</v>
      </c>
      <c r="F31" s="34">
        <v>0</v>
      </c>
      <c r="G31" s="48">
        <f t="shared" si="0"/>
        <v>1.0970845833333336</v>
      </c>
    </row>
    <row r="32" spans="1:7" x14ac:dyDescent="0.3">
      <c r="A32" s="33">
        <v>45990.609861111108</v>
      </c>
      <c r="B32" s="34">
        <v>310</v>
      </c>
      <c r="C32" s="35">
        <v>1.175</v>
      </c>
      <c r="D32" s="36">
        <v>393.56299999999999</v>
      </c>
      <c r="E32" s="37">
        <v>463.11086999999998</v>
      </c>
      <c r="F32" s="34">
        <v>0</v>
      </c>
      <c r="G32" s="48">
        <f t="shared" si="0"/>
        <v>1.0944805555555557</v>
      </c>
    </row>
    <row r="33" spans="1:7" x14ac:dyDescent="0.3">
      <c r="A33" s="33">
        <v>45990.609976851854</v>
      </c>
      <c r="B33" s="34">
        <v>320</v>
      </c>
      <c r="C33" s="35">
        <v>1.1725000000000001</v>
      </c>
      <c r="D33" s="36">
        <v>392.71300000000002</v>
      </c>
      <c r="E33" s="37">
        <v>460.61093</v>
      </c>
      <c r="F33" s="34">
        <v>0</v>
      </c>
      <c r="G33" s="48">
        <f t="shared" si="0"/>
        <v>1.0920500000000002</v>
      </c>
    </row>
    <row r="34" spans="1:7" x14ac:dyDescent="0.3">
      <c r="A34" s="33">
        <v>45990.610092592593</v>
      </c>
      <c r="B34" s="34">
        <v>330</v>
      </c>
      <c r="C34" s="35">
        <v>1.17</v>
      </c>
      <c r="D34" s="36">
        <v>391.91300000000001</v>
      </c>
      <c r="E34" s="37">
        <v>458.11102</v>
      </c>
      <c r="F34" s="34">
        <v>0</v>
      </c>
      <c r="G34" s="48">
        <f t="shared" si="0"/>
        <v>1.0897583333333334</v>
      </c>
    </row>
    <row r="35" spans="1:7" x14ac:dyDescent="0.3">
      <c r="A35" s="33">
        <v>45990.610208333332</v>
      </c>
      <c r="B35" s="34">
        <v>340</v>
      </c>
      <c r="C35" s="35">
        <v>1.1675</v>
      </c>
      <c r="D35" s="36">
        <v>391.13810000000001</v>
      </c>
      <c r="E35" s="37">
        <v>456.86104999999998</v>
      </c>
      <c r="F35" s="34">
        <v>0</v>
      </c>
      <c r="G35" s="48">
        <f t="shared" si="0"/>
        <v>1.0875709722222222</v>
      </c>
    </row>
    <row r="36" spans="1:7" x14ac:dyDescent="0.3">
      <c r="A36" s="33">
        <v>45990.610324074078</v>
      </c>
      <c r="B36" s="34">
        <v>350</v>
      </c>
      <c r="C36" s="35">
        <v>1.165</v>
      </c>
      <c r="D36" s="36">
        <v>390.43810000000002</v>
      </c>
      <c r="E36" s="37">
        <v>454.36115000000001</v>
      </c>
      <c r="F36" s="34">
        <v>0</v>
      </c>
      <c r="G36" s="48">
        <f t="shared" si="0"/>
        <v>1.0855224999999999</v>
      </c>
    </row>
    <row r="37" spans="1:7" x14ac:dyDescent="0.3">
      <c r="A37" s="33">
        <v>45990.610439814816</v>
      </c>
      <c r="B37" s="34">
        <v>360</v>
      </c>
      <c r="C37" s="35">
        <v>1.1625000000000001</v>
      </c>
      <c r="D37" s="36">
        <v>389.73809999999997</v>
      </c>
      <c r="E37" s="37">
        <v>452.48621000000003</v>
      </c>
      <c r="F37" s="34">
        <v>0</v>
      </c>
      <c r="G37" s="48">
        <f t="shared" si="0"/>
        <v>1.0835780555555556</v>
      </c>
    </row>
    <row r="38" spans="1:7" x14ac:dyDescent="0.3">
      <c r="A38" s="33">
        <v>45990.610555555555</v>
      </c>
      <c r="B38" s="34">
        <v>370</v>
      </c>
      <c r="C38" s="35">
        <v>1.1599999999999999</v>
      </c>
      <c r="D38" s="36">
        <v>389.03809999999999</v>
      </c>
      <c r="E38" s="37">
        <v>451.86121000000003</v>
      </c>
      <c r="F38" s="34">
        <v>0</v>
      </c>
      <c r="G38" s="48">
        <f t="shared" si="0"/>
        <v>1.0816336111111111</v>
      </c>
    </row>
    <row r="39" spans="1:7" x14ac:dyDescent="0.3">
      <c r="A39" s="33">
        <v>45990.610671296294</v>
      </c>
      <c r="B39" s="34">
        <v>380</v>
      </c>
      <c r="C39" s="35">
        <v>1.1587000000000001</v>
      </c>
      <c r="D39" s="36">
        <v>388.3381</v>
      </c>
      <c r="E39" s="37">
        <v>449.98626999999999</v>
      </c>
      <c r="F39" s="34">
        <v>0</v>
      </c>
      <c r="G39" s="48">
        <f t="shared" si="0"/>
        <v>1.0796891666666666</v>
      </c>
    </row>
    <row r="40" spans="1:7" x14ac:dyDescent="0.3">
      <c r="A40" s="33">
        <v>45990.61078703704</v>
      </c>
      <c r="B40" s="34">
        <v>390</v>
      </c>
      <c r="C40" s="35">
        <v>1.1575</v>
      </c>
      <c r="D40" s="36">
        <v>387.71319999999997</v>
      </c>
      <c r="E40" s="37">
        <v>448.73630000000003</v>
      </c>
      <c r="F40" s="34">
        <v>0</v>
      </c>
      <c r="G40" s="48">
        <f t="shared" si="0"/>
        <v>1.0778490277777777</v>
      </c>
    </row>
    <row r="41" spans="1:7" x14ac:dyDescent="0.3">
      <c r="A41" s="33">
        <v>45990.610902777778</v>
      </c>
      <c r="B41" s="34">
        <v>400</v>
      </c>
      <c r="C41" s="35">
        <v>1.155</v>
      </c>
      <c r="D41" s="36">
        <v>387.13819999999998</v>
      </c>
      <c r="E41" s="37">
        <v>447.48633000000001</v>
      </c>
      <c r="F41" s="34">
        <v>0</v>
      </c>
      <c r="G41" s="48">
        <f t="shared" si="0"/>
        <v>1.0761825</v>
      </c>
    </row>
    <row r="42" spans="1:7" x14ac:dyDescent="0.3">
      <c r="A42" s="33">
        <v>45990.611018518517</v>
      </c>
      <c r="B42" s="34">
        <v>410</v>
      </c>
      <c r="C42" s="35">
        <v>1.1536999999999999</v>
      </c>
      <c r="D42" s="36">
        <v>386.53820000000002</v>
      </c>
      <c r="E42" s="37">
        <v>445.61138999999997</v>
      </c>
      <c r="F42" s="34">
        <v>0</v>
      </c>
      <c r="G42" s="48">
        <f t="shared" si="0"/>
        <v>1.0745505555555557</v>
      </c>
    </row>
    <row r="43" spans="1:7" x14ac:dyDescent="0.3">
      <c r="A43" s="33">
        <v>45990.611134259256</v>
      </c>
      <c r="B43" s="34">
        <v>420</v>
      </c>
      <c r="C43" s="35">
        <v>1.3836999999999999</v>
      </c>
      <c r="D43" s="36">
        <v>0</v>
      </c>
      <c r="E43" s="37">
        <v>0</v>
      </c>
      <c r="F43" s="34">
        <v>1</v>
      </c>
      <c r="G43" s="48">
        <f t="shared" si="0"/>
        <v>0.53685861111111111</v>
      </c>
    </row>
    <row r="44" spans="1:7" x14ac:dyDescent="0.3">
      <c r="A44" s="33">
        <v>45990.611250000002</v>
      </c>
      <c r="B44" s="34">
        <v>430</v>
      </c>
      <c r="C44" s="35">
        <v>1.4</v>
      </c>
      <c r="D44" s="36">
        <v>0</v>
      </c>
      <c r="E44" s="37">
        <v>0</v>
      </c>
      <c r="F44" s="34">
        <v>1</v>
      </c>
      <c r="G44" s="48">
        <f t="shared" si="0"/>
        <v>0</v>
      </c>
    </row>
    <row r="45" spans="1:7" x14ac:dyDescent="0.3">
      <c r="A45" s="33">
        <v>45990.61136574074</v>
      </c>
      <c r="B45" s="34">
        <v>440</v>
      </c>
      <c r="C45" s="35">
        <v>1.4063000000000001</v>
      </c>
      <c r="D45" s="36">
        <v>0</v>
      </c>
      <c r="E45" s="37">
        <v>0</v>
      </c>
      <c r="F45" s="34">
        <v>1</v>
      </c>
      <c r="G45" s="48">
        <f t="shared" si="0"/>
        <v>0</v>
      </c>
    </row>
    <row r="46" spans="1:7" x14ac:dyDescent="0.3">
      <c r="A46" s="33">
        <v>45990.611481481479</v>
      </c>
      <c r="B46" s="34">
        <v>450</v>
      </c>
      <c r="C46" s="35">
        <v>1.4125000000000001</v>
      </c>
      <c r="D46" s="36">
        <v>0</v>
      </c>
      <c r="E46" s="37">
        <v>0</v>
      </c>
      <c r="F46" s="34">
        <v>1</v>
      </c>
      <c r="G46" s="48">
        <f t="shared" si="0"/>
        <v>0</v>
      </c>
    </row>
    <row r="47" spans="1:7" x14ac:dyDescent="0.3">
      <c r="A47" s="33">
        <v>45990.611597222225</v>
      </c>
      <c r="B47" s="34">
        <v>460</v>
      </c>
      <c r="C47" s="35">
        <v>1.4175</v>
      </c>
      <c r="D47" s="36">
        <v>0</v>
      </c>
      <c r="E47" s="37">
        <v>0</v>
      </c>
      <c r="F47" s="34">
        <v>1</v>
      </c>
      <c r="G47" s="48">
        <f t="shared" si="0"/>
        <v>0</v>
      </c>
    </row>
    <row r="48" spans="1:7" x14ac:dyDescent="0.3">
      <c r="A48" s="33">
        <v>45990.611712962964</v>
      </c>
      <c r="B48" s="34">
        <v>470</v>
      </c>
      <c r="C48" s="35">
        <v>1.4212</v>
      </c>
      <c r="D48" s="36">
        <v>0</v>
      </c>
      <c r="E48" s="37">
        <v>0</v>
      </c>
      <c r="F48" s="34">
        <v>1</v>
      </c>
      <c r="G48" s="48">
        <f t="shared" si="0"/>
        <v>0</v>
      </c>
    </row>
    <row r="49" spans="1:7" x14ac:dyDescent="0.3">
      <c r="A49" s="33">
        <v>45990.611828703702</v>
      </c>
      <c r="B49" s="34">
        <v>480</v>
      </c>
      <c r="C49" s="35">
        <v>1.1837</v>
      </c>
      <c r="D49" s="36">
        <v>396.6379</v>
      </c>
      <c r="E49" s="37">
        <v>469.36068999999998</v>
      </c>
      <c r="F49" s="34">
        <v>0</v>
      </c>
      <c r="G49" s="48">
        <f t="shared" si="0"/>
        <v>0.55088597222222224</v>
      </c>
    </row>
    <row r="50" spans="1:7" x14ac:dyDescent="0.3">
      <c r="A50" s="33">
        <v>45990.611944444441</v>
      </c>
      <c r="B50" s="34">
        <v>490</v>
      </c>
      <c r="C50" s="35">
        <v>1.17</v>
      </c>
      <c r="D50" s="36">
        <v>392.238</v>
      </c>
      <c r="E50" s="37">
        <v>458.73599000000002</v>
      </c>
      <c r="F50" s="34">
        <v>0</v>
      </c>
      <c r="G50" s="48">
        <f t="shared" si="0"/>
        <v>1.0956609722222224</v>
      </c>
    </row>
    <row r="51" spans="1:7" x14ac:dyDescent="0.3">
      <c r="A51" s="33">
        <v>45990.612060185187</v>
      </c>
      <c r="B51" s="34">
        <v>500</v>
      </c>
      <c r="C51" s="35">
        <v>1.1637</v>
      </c>
      <c r="D51" s="36">
        <v>389.88810000000001</v>
      </c>
      <c r="E51" s="37">
        <v>453.73615000000001</v>
      </c>
      <c r="F51" s="34">
        <v>0</v>
      </c>
      <c r="G51" s="48">
        <f t="shared" si="0"/>
        <v>1.0862862499999999</v>
      </c>
    </row>
    <row r="52" spans="1:7" x14ac:dyDescent="0.3">
      <c r="A52" s="33">
        <v>45990.612175925926</v>
      </c>
      <c r="B52" s="34">
        <v>510</v>
      </c>
      <c r="C52" s="35">
        <v>1.1587000000000001</v>
      </c>
      <c r="D52" s="36">
        <v>388.28809999999999</v>
      </c>
      <c r="E52" s="37">
        <v>449.36130000000003</v>
      </c>
      <c r="F52" s="34">
        <v>0</v>
      </c>
      <c r="G52" s="48">
        <f t="shared" si="0"/>
        <v>1.0808002777777779</v>
      </c>
    </row>
    <row r="53" spans="1:7" x14ac:dyDescent="0.3">
      <c r="A53" s="33">
        <v>45990.612291666665</v>
      </c>
      <c r="B53" s="34">
        <v>520</v>
      </c>
      <c r="C53" s="35">
        <v>1.1536999999999999</v>
      </c>
      <c r="D53" s="36">
        <v>387.01319999999998</v>
      </c>
      <c r="E53" s="37">
        <v>446.23638999999997</v>
      </c>
      <c r="F53" s="34">
        <v>0</v>
      </c>
      <c r="G53" s="48">
        <f t="shared" si="0"/>
        <v>1.0768073611111111</v>
      </c>
    </row>
    <row r="54" spans="1:7" x14ac:dyDescent="0.3">
      <c r="A54" s="33">
        <v>45990.612407407411</v>
      </c>
      <c r="B54" s="34">
        <v>530</v>
      </c>
      <c r="C54" s="35">
        <v>1.1513</v>
      </c>
      <c r="D54" s="36">
        <v>385.98820000000001</v>
      </c>
      <c r="E54" s="37">
        <v>444.36144999999999</v>
      </c>
      <c r="F54" s="34">
        <v>0</v>
      </c>
      <c r="G54" s="48">
        <f t="shared" si="0"/>
        <v>1.0736130555555556</v>
      </c>
    </row>
    <row r="55" spans="1:7" x14ac:dyDescent="0.3">
      <c r="A55" s="33">
        <v>45990.612523148149</v>
      </c>
      <c r="B55" s="34">
        <v>540</v>
      </c>
      <c r="C55" s="35">
        <v>1.1487000000000001</v>
      </c>
      <c r="D55" s="36">
        <v>385.06319999999999</v>
      </c>
      <c r="E55" s="37">
        <v>442.48651000000001</v>
      </c>
      <c r="F55" s="34">
        <v>0</v>
      </c>
      <c r="G55" s="48">
        <f t="shared" si="0"/>
        <v>1.0709047222222223</v>
      </c>
    </row>
    <row r="56" spans="1:7" x14ac:dyDescent="0.3">
      <c r="A56" s="33">
        <v>45990.612638888888</v>
      </c>
      <c r="B56" s="34">
        <v>550</v>
      </c>
      <c r="C56" s="35">
        <v>1.1463000000000001</v>
      </c>
      <c r="D56" s="36">
        <v>384.23829999999998</v>
      </c>
      <c r="E56" s="37">
        <v>440.61153999999999</v>
      </c>
      <c r="F56" s="34">
        <v>0</v>
      </c>
      <c r="G56" s="48">
        <f t="shared" si="0"/>
        <v>1.0684743055555557</v>
      </c>
    </row>
    <row r="57" spans="1:7" x14ac:dyDescent="0.3">
      <c r="A57" s="33">
        <v>45990.612754629627</v>
      </c>
      <c r="B57" s="34">
        <v>560</v>
      </c>
      <c r="C57" s="35">
        <v>1.1436999999999999</v>
      </c>
      <c r="D57" s="36">
        <v>383.48829999999998</v>
      </c>
      <c r="E57" s="37">
        <v>438.11162999999999</v>
      </c>
      <c r="F57" s="34">
        <v>0</v>
      </c>
      <c r="G57" s="48">
        <f t="shared" si="0"/>
        <v>1.0662869444444445</v>
      </c>
    </row>
    <row r="58" spans="1:7" x14ac:dyDescent="0.3">
      <c r="A58" s="33">
        <v>45990.612870370373</v>
      </c>
      <c r="B58" s="34">
        <v>570</v>
      </c>
      <c r="C58" s="35">
        <v>1.1413</v>
      </c>
      <c r="D58" s="36">
        <v>382.78829999999999</v>
      </c>
      <c r="E58" s="37">
        <v>437.48662999999999</v>
      </c>
      <c r="F58" s="34">
        <v>0</v>
      </c>
      <c r="G58" s="48">
        <f t="shared" si="0"/>
        <v>1.0642730555555555</v>
      </c>
    </row>
    <row r="59" spans="1:7" x14ac:dyDescent="0.3">
      <c r="A59" s="33">
        <v>45990.612986111111</v>
      </c>
      <c r="B59" s="34">
        <v>580</v>
      </c>
      <c r="C59" s="35">
        <v>1.1387</v>
      </c>
      <c r="D59" s="36">
        <v>382.13830000000002</v>
      </c>
      <c r="E59" s="37">
        <v>434.98671999999999</v>
      </c>
      <c r="F59" s="34">
        <v>0</v>
      </c>
      <c r="G59" s="48">
        <f t="shared" si="0"/>
        <v>1.0623980555555557</v>
      </c>
    </row>
    <row r="60" spans="1:7" x14ac:dyDescent="0.3">
      <c r="A60" s="33">
        <v>45990.61310185185</v>
      </c>
      <c r="B60" s="34">
        <v>590</v>
      </c>
      <c r="C60" s="35">
        <v>1.1375</v>
      </c>
      <c r="D60" s="36">
        <v>381.51330000000002</v>
      </c>
      <c r="E60" s="37">
        <v>434.36176</v>
      </c>
      <c r="F60" s="34">
        <v>0</v>
      </c>
      <c r="G60" s="48">
        <f t="shared" si="0"/>
        <v>1.0606272222222224</v>
      </c>
    </row>
    <row r="61" spans="1:7" x14ac:dyDescent="0.3">
      <c r="A61" s="33">
        <v>45990.613217592596</v>
      </c>
      <c r="B61" s="34">
        <v>600</v>
      </c>
      <c r="C61" s="35">
        <v>1.1363000000000001</v>
      </c>
      <c r="D61" s="36">
        <v>380.9384</v>
      </c>
      <c r="E61" s="37">
        <v>432.48682000000002</v>
      </c>
      <c r="F61" s="34">
        <v>0</v>
      </c>
      <c r="G61" s="48">
        <f t="shared" si="0"/>
        <v>1.0589606944444445</v>
      </c>
    </row>
    <row r="62" spans="1:7" x14ac:dyDescent="0.3">
      <c r="A62" s="33">
        <v>45990.613333333335</v>
      </c>
      <c r="B62" s="34">
        <v>610</v>
      </c>
      <c r="C62" s="35">
        <v>1.1336999999999999</v>
      </c>
      <c r="D62" s="36">
        <v>380.33839999999998</v>
      </c>
      <c r="E62" s="37">
        <v>431.23685</v>
      </c>
      <c r="F62" s="34">
        <v>0</v>
      </c>
      <c r="G62" s="48">
        <f t="shared" si="0"/>
        <v>1.057328888888889</v>
      </c>
    </row>
    <row r="63" spans="1:7" x14ac:dyDescent="0.3">
      <c r="A63" s="33">
        <v>45990.613449074073</v>
      </c>
      <c r="B63" s="34">
        <v>620</v>
      </c>
      <c r="C63" s="35">
        <v>1.1325000000000001</v>
      </c>
      <c r="D63" s="36">
        <v>379.78840000000002</v>
      </c>
      <c r="E63" s="37">
        <v>429.98687999999999</v>
      </c>
      <c r="F63" s="34">
        <v>0</v>
      </c>
      <c r="G63" s="48">
        <f t="shared" si="0"/>
        <v>1.0557316666666667</v>
      </c>
    </row>
    <row r="64" spans="1:7" x14ac:dyDescent="0.3">
      <c r="A64" s="33">
        <v>45990.613564814812</v>
      </c>
      <c r="B64" s="34">
        <v>630</v>
      </c>
      <c r="C64" s="35">
        <v>1.1299999999999999</v>
      </c>
      <c r="D64" s="36">
        <v>379.28840000000002</v>
      </c>
      <c r="E64" s="37">
        <v>429.36191000000002</v>
      </c>
      <c r="F64" s="34">
        <v>0</v>
      </c>
      <c r="G64" s="48">
        <f t="shared" si="0"/>
        <v>1.0542733333333334</v>
      </c>
    </row>
    <row r="65" spans="1:7" x14ac:dyDescent="0.3">
      <c r="A65" s="33">
        <v>45990.613680555558</v>
      </c>
      <c r="B65" s="34">
        <v>640</v>
      </c>
      <c r="C65" s="35">
        <v>1.1287</v>
      </c>
      <c r="D65" s="36">
        <v>378.78840000000002</v>
      </c>
      <c r="E65" s="37">
        <v>426.86196999999999</v>
      </c>
      <c r="F65" s="34">
        <v>0</v>
      </c>
      <c r="G65" s="48">
        <f t="shared" si="0"/>
        <v>1.0528844444444445</v>
      </c>
    </row>
    <row r="66" spans="1:7" x14ac:dyDescent="0.3">
      <c r="A66" s="33">
        <v>45990.613796296297</v>
      </c>
      <c r="B66" s="34">
        <v>650</v>
      </c>
      <c r="C66" s="35">
        <v>1.1274999999999999</v>
      </c>
      <c r="D66" s="36">
        <v>378.26350000000002</v>
      </c>
      <c r="E66" s="37">
        <v>426.23700000000002</v>
      </c>
      <c r="F66" s="34">
        <v>0</v>
      </c>
      <c r="G66" s="48">
        <f t="shared" si="0"/>
        <v>1.0514609722222223</v>
      </c>
    </row>
    <row r="67" spans="1:7" x14ac:dyDescent="0.3">
      <c r="A67" s="33">
        <v>45990.613912037035</v>
      </c>
      <c r="B67" s="34">
        <v>660</v>
      </c>
      <c r="C67" s="35">
        <v>1.355</v>
      </c>
      <c r="D67" s="36">
        <v>0</v>
      </c>
      <c r="E67" s="37">
        <v>0</v>
      </c>
      <c r="F67" s="34">
        <v>1</v>
      </c>
      <c r="G67" s="48">
        <f t="shared" si="0"/>
        <v>0.52536597222222226</v>
      </c>
    </row>
    <row r="68" spans="1:7" x14ac:dyDescent="0.3">
      <c r="A68" s="33">
        <v>45990.614027777781</v>
      </c>
      <c r="B68" s="34">
        <v>670</v>
      </c>
      <c r="C68" s="35">
        <v>1.37</v>
      </c>
      <c r="D68" s="36">
        <v>0</v>
      </c>
      <c r="E68" s="37">
        <v>0</v>
      </c>
      <c r="F68" s="34">
        <v>1</v>
      </c>
      <c r="G68" s="48">
        <f t="shared" si="0"/>
        <v>0</v>
      </c>
    </row>
    <row r="69" spans="1:7" x14ac:dyDescent="0.3">
      <c r="A69" s="33">
        <v>45990.61414351852</v>
      </c>
      <c r="B69" s="34">
        <v>680</v>
      </c>
      <c r="C69" s="35">
        <v>1.3787</v>
      </c>
      <c r="D69" s="36">
        <v>0</v>
      </c>
      <c r="E69" s="37">
        <v>0</v>
      </c>
      <c r="F69" s="34">
        <v>1</v>
      </c>
      <c r="G69" s="48">
        <f t="shared" si="0"/>
        <v>0</v>
      </c>
    </row>
    <row r="70" spans="1:7" x14ac:dyDescent="0.3">
      <c r="A70" s="33">
        <v>45990.614259259259</v>
      </c>
      <c r="B70" s="34">
        <v>690</v>
      </c>
      <c r="C70" s="35">
        <v>1.385</v>
      </c>
      <c r="D70" s="36">
        <v>0</v>
      </c>
      <c r="E70" s="37">
        <v>0</v>
      </c>
      <c r="F70" s="34">
        <v>1</v>
      </c>
      <c r="G70" s="48">
        <f t="shared" ref="G70:G133" si="1">($B$2/3600)*(D69+D70)/2</f>
        <v>0</v>
      </c>
    </row>
    <row r="71" spans="1:7" x14ac:dyDescent="0.3">
      <c r="A71" s="33">
        <v>45990.614374999997</v>
      </c>
      <c r="B71" s="34">
        <v>700</v>
      </c>
      <c r="C71" s="35">
        <v>1.3887</v>
      </c>
      <c r="D71" s="36">
        <v>0</v>
      </c>
      <c r="E71" s="37">
        <v>0</v>
      </c>
      <c r="F71" s="34">
        <v>1</v>
      </c>
      <c r="G71" s="48">
        <f t="shared" si="1"/>
        <v>0</v>
      </c>
    </row>
    <row r="72" spans="1:7" x14ac:dyDescent="0.3">
      <c r="A72" s="33">
        <v>45990.614490740743</v>
      </c>
      <c r="B72" s="34">
        <v>710</v>
      </c>
      <c r="C72" s="35">
        <v>1.3936999999999999</v>
      </c>
      <c r="D72" s="36">
        <v>0</v>
      </c>
      <c r="E72" s="37">
        <v>0</v>
      </c>
      <c r="F72" s="34">
        <v>1</v>
      </c>
      <c r="G72" s="48">
        <f t="shared" si="1"/>
        <v>0</v>
      </c>
    </row>
    <row r="73" spans="1:7" x14ac:dyDescent="0.3">
      <c r="A73" s="33">
        <v>45990.614606481482</v>
      </c>
      <c r="B73" s="34">
        <v>720</v>
      </c>
      <c r="C73" s="35">
        <v>1.1599999999999999</v>
      </c>
      <c r="D73" s="36">
        <v>388.56310000000002</v>
      </c>
      <c r="E73" s="37">
        <v>450.61124000000001</v>
      </c>
      <c r="F73" s="34">
        <v>0</v>
      </c>
      <c r="G73" s="48">
        <f t="shared" si="1"/>
        <v>0.53967097222222227</v>
      </c>
    </row>
    <row r="74" spans="1:7" x14ac:dyDescent="0.3">
      <c r="A74" s="33">
        <v>45990.614722222221</v>
      </c>
      <c r="B74" s="34">
        <v>730</v>
      </c>
      <c r="C74" s="35">
        <v>1.1463000000000001</v>
      </c>
      <c r="D74" s="36">
        <v>384.3383</v>
      </c>
      <c r="E74" s="37">
        <v>440.61153999999999</v>
      </c>
      <c r="F74" s="34">
        <v>0</v>
      </c>
      <c r="G74" s="48">
        <f t="shared" si="1"/>
        <v>1.0734741666666667</v>
      </c>
    </row>
    <row r="75" spans="1:7" x14ac:dyDescent="0.3">
      <c r="A75" s="33">
        <v>45990.614837962959</v>
      </c>
      <c r="B75" s="34">
        <v>740</v>
      </c>
      <c r="C75" s="35">
        <v>1.1387</v>
      </c>
      <c r="D75" s="36">
        <v>382.06330000000003</v>
      </c>
      <c r="E75" s="37">
        <v>434.98671999999999</v>
      </c>
      <c r="F75" s="34">
        <v>0</v>
      </c>
      <c r="G75" s="48">
        <f t="shared" si="1"/>
        <v>1.0644466666666668</v>
      </c>
    </row>
    <row r="76" spans="1:7" x14ac:dyDescent="0.3">
      <c r="A76" s="33">
        <v>45990.614953703705</v>
      </c>
      <c r="B76" s="34">
        <v>750</v>
      </c>
      <c r="C76" s="35">
        <v>1.135</v>
      </c>
      <c r="D76" s="36">
        <v>380.5634</v>
      </c>
      <c r="E76" s="37">
        <v>431.86182000000002</v>
      </c>
      <c r="F76" s="34">
        <v>0</v>
      </c>
      <c r="G76" s="48">
        <f t="shared" si="1"/>
        <v>1.05920375</v>
      </c>
    </row>
    <row r="77" spans="1:7" x14ac:dyDescent="0.3">
      <c r="A77" s="33">
        <v>45990.615069444444</v>
      </c>
      <c r="B77" s="34">
        <v>760</v>
      </c>
      <c r="C77" s="35">
        <v>1.1299999999999999</v>
      </c>
      <c r="D77" s="36">
        <v>379.36340000000001</v>
      </c>
      <c r="E77" s="37">
        <v>429.36191000000002</v>
      </c>
      <c r="F77" s="34">
        <v>0</v>
      </c>
      <c r="G77" s="48">
        <f t="shared" si="1"/>
        <v>1.0554538888888889</v>
      </c>
    </row>
    <row r="78" spans="1:7" x14ac:dyDescent="0.3">
      <c r="A78" s="33">
        <v>45990.615185185183</v>
      </c>
      <c r="B78" s="34">
        <v>770</v>
      </c>
      <c r="C78" s="35">
        <v>1.1274999999999999</v>
      </c>
      <c r="D78" s="36">
        <v>378.36340000000001</v>
      </c>
      <c r="E78" s="37">
        <v>426.86196999999999</v>
      </c>
      <c r="F78" s="34">
        <v>0</v>
      </c>
      <c r="G78" s="48">
        <f t="shared" si="1"/>
        <v>1.0523983333333333</v>
      </c>
    </row>
    <row r="79" spans="1:7" x14ac:dyDescent="0.3">
      <c r="A79" s="33">
        <v>45990.615300925929</v>
      </c>
      <c r="B79" s="34">
        <v>780</v>
      </c>
      <c r="C79" s="35">
        <v>1.125</v>
      </c>
      <c r="D79" s="36">
        <v>377.48849999999999</v>
      </c>
      <c r="E79" s="37">
        <v>424.36205999999999</v>
      </c>
      <c r="F79" s="34">
        <v>0</v>
      </c>
      <c r="G79" s="48">
        <f t="shared" si="1"/>
        <v>1.0497943055555556</v>
      </c>
    </row>
    <row r="80" spans="1:7" x14ac:dyDescent="0.3">
      <c r="A80" s="33">
        <v>45990.615416666667</v>
      </c>
      <c r="B80" s="34">
        <v>790</v>
      </c>
      <c r="C80" s="35">
        <v>1.1225000000000001</v>
      </c>
      <c r="D80" s="36">
        <v>376.76350000000002</v>
      </c>
      <c r="E80" s="37">
        <v>423.11209000000002</v>
      </c>
      <c r="F80" s="34">
        <v>0</v>
      </c>
      <c r="G80" s="48">
        <f t="shared" si="1"/>
        <v>1.0475722222222221</v>
      </c>
    </row>
    <row r="81" spans="1:7" x14ac:dyDescent="0.3">
      <c r="A81" s="33">
        <v>45990.615532407406</v>
      </c>
      <c r="B81" s="34">
        <v>800</v>
      </c>
      <c r="C81" s="35">
        <v>1.1200000000000001</v>
      </c>
      <c r="D81" s="36">
        <v>376.08850000000001</v>
      </c>
      <c r="E81" s="37">
        <v>420.61214999999999</v>
      </c>
      <c r="F81" s="34">
        <v>0</v>
      </c>
      <c r="G81" s="48">
        <f t="shared" si="1"/>
        <v>1.045627777777778</v>
      </c>
    </row>
    <row r="82" spans="1:7" x14ac:dyDescent="0.3">
      <c r="A82" s="33">
        <v>45990.615648148145</v>
      </c>
      <c r="B82" s="34">
        <v>810</v>
      </c>
      <c r="C82" s="35">
        <v>1.1187</v>
      </c>
      <c r="D82" s="36">
        <v>375.46350000000001</v>
      </c>
      <c r="E82" s="37">
        <v>419.98718000000002</v>
      </c>
      <c r="F82" s="34">
        <v>0</v>
      </c>
      <c r="G82" s="48">
        <f t="shared" si="1"/>
        <v>1.0438222222222222</v>
      </c>
    </row>
    <row r="83" spans="1:7" x14ac:dyDescent="0.3">
      <c r="A83" s="33">
        <v>45990.61577546296</v>
      </c>
      <c r="B83" s="34">
        <v>820</v>
      </c>
      <c r="C83" s="35">
        <v>1.1174999999999999</v>
      </c>
      <c r="D83" s="36">
        <v>374.86360000000002</v>
      </c>
      <c r="E83" s="37">
        <v>418.73721</v>
      </c>
      <c r="F83" s="34">
        <v>0</v>
      </c>
      <c r="G83" s="48">
        <f t="shared" si="1"/>
        <v>1.0421209722222222</v>
      </c>
    </row>
    <row r="84" spans="1:7" x14ac:dyDescent="0.3">
      <c r="A84" s="33">
        <v>45990.615891203706</v>
      </c>
      <c r="B84" s="34">
        <v>830</v>
      </c>
      <c r="C84" s="35">
        <v>1.1162000000000001</v>
      </c>
      <c r="D84" s="36">
        <v>374.31360000000001</v>
      </c>
      <c r="E84" s="37">
        <v>417.48723999999999</v>
      </c>
      <c r="F84" s="34">
        <v>0</v>
      </c>
      <c r="G84" s="48">
        <f t="shared" si="1"/>
        <v>1.040523888888889</v>
      </c>
    </row>
    <row r="85" spans="1:7" x14ac:dyDescent="0.3">
      <c r="A85" s="33">
        <v>45990.616006944445</v>
      </c>
      <c r="B85" s="34">
        <v>840</v>
      </c>
      <c r="C85" s="35">
        <v>1.1136999999999999</v>
      </c>
      <c r="D85" s="36">
        <v>373.7636</v>
      </c>
      <c r="E85" s="37">
        <v>416.2373</v>
      </c>
      <c r="F85" s="34">
        <v>0</v>
      </c>
      <c r="G85" s="48">
        <f t="shared" si="1"/>
        <v>1.038996111111111</v>
      </c>
    </row>
    <row r="86" spans="1:7" x14ac:dyDescent="0.3">
      <c r="A86" s="33">
        <v>45990.616122685184</v>
      </c>
      <c r="B86" s="34">
        <v>850</v>
      </c>
      <c r="C86" s="35">
        <v>1.1125</v>
      </c>
      <c r="D86" s="36">
        <v>373.23860000000002</v>
      </c>
      <c r="E86" s="37">
        <v>414.98734000000002</v>
      </c>
      <c r="F86" s="34">
        <v>0</v>
      </c>
      <c r="G86" s="48">
        <f t="shared" si="1"/>
        <v>1.0375030555555556</v>
      </c>
    </row>
    <row r="87" spans="1:7" x14ac:dyDescent="0.3">
      <c r="A87" s="33">
        <v>45990.616238425922</v>
      </c>
      <c r="B87" s="34">
        <v>860</v>
      </c>
      <c r="C87" s="35">
        <v>1.1112</v>
      </c>
      <c r="D87" s="36">
        <v>372.71359999999999</v>
      </c>
      <c r="E87" s="37">
        <v>413.73737</v>
      </c>
      <c r="F87" s="34">
        <v>0</v>
      </c>
      <c r="G87" s="48">
        <f t="shared" si="1"/>
        <v>1.0360447222222222</v>
      </c>
    </row>
    <row r="88" spans="1:7" x14ac:dyDescent="0.3">
      <c r="A88" s="33">
        <v>45990.616354166668</v>
      </c>
      <c r="B88" s="34">
        <v>870</v>
      </c>
      <c r="C88" s="35">
        <v>1.1100000000000001</v>
      </c>
      <c r="D88" s="36">
        <v>372.21359999999999</v>
      </c>
      <c r="E88" s="37">
        <v>412.48743000000002</v>
      </c>
      <c r="F88" s="34">
        <v>0</v>
      </c>
      <c r="G88" s="48">
        <f t="shared" si="1"/>
        <v>1.0346211111111112</v>
      </c>
    </row>
    <row r="89" spans="1:7" x14ac:dyDescent="0.3">
      <c r="A89" s="33">
        <v>45990.616469907407</v>
      </c>
      <c r="B89" s="34">
        <v>880</v>
      </c>
      <c r="C89" s="35">
        <v>1.1074999999999999</v>
      </c>
      <c r="D89" s="36">
        <v>371.78859999999997</v>
      </c>
      <c r="E89" s="37">
        <v>411.86243000000002</v>
      </c>
      <c r="F89" s="34">
        <v>0</v>
      </c>
      <c r="G89" s="48">
        <f t="shared" si="1"/>
        <v>1.0333363888888889</v>
      </c>
    </row>
    <row r="90" spans="1:7" x14ac:dyDescent="0.3">
      <c r="A90" s="33">
        <v>45990.616585648146</v>
      </c>
      <c r="B90" s="34">
        <v>890</v>
      </c>
      <c r="C90" s="35">
        <v>1.1062000000000001</v>
      </c>
      <c r="D90" s="36">
        <v>371.33870000000002</v>
      </c>
      <c r="E90" s="37">
        <v>410.61246</v>
      </c>
      <c r="F90" s="34">
        <v>0</v>
      </c>
      <c r="G90" s="48">
        <f t="shared" si="1"/>
        <v>1.0321212500000001</v>
      </c>
    </row>
    <row r="91" spans="1:7" x14ac:dyDescent="0.3">
      <c r="A91" s="33">
        <v>45990.616701388892</v>
      </c>
      <c r="B91" s="34">
        <v>900</v>
      </c>
      <c r="C91" s="35">
        <v>1.335</v>
      </c>
      <c r="D91" s="36">
        <v>0</v>
      </c>
      <c r="E91" s="37">
        <v>0</v>
      </c>
      <c r="F91" s="34">
        <v>1</v>
      </c>
      <c r="G91" s="48">
        <f t="shared" si="1"/>
        <v>0.51574819444444453</v>
      </c>
    </row>
    <row r="92" spans="1:7" x14ac:dyDescent="0.3">
      <c r="A92" s="33">
        <v>45990.61681712963</v>
      </c>
      <c r="B92" s="34">
        <v>910</v>
      </c>
      <c r="C92" s="35">
        <v>1.35</v>
      </c>
      <c r="D92" s="36">
        <v>0</v>
      </c>
      <c r="E92" s="37">
        <v>0</v>
      </c>
      <c r="F92" s="34">
        <v>1</v>
      </c>
      <c r="G92" s="48">
        <f t="shared" si="1"/>
        <v>0</v>
      </c>
    </row>
    <row r="93" spans="1:7" x14ac:dyDescent="0.3">
      <c r="A93" s="33">
        <v>45990.616932870369</v>
      </c>
      <c r="B93" s="34">
        <v>920</v>
      </c>
      <c r="C93" s="35">
        <v>1.3587</v>
      </c>
      <c r="D93" s="36">
        <v>0</v>
      </c>
      <c r="E93" s="37">
        <v>0</v>
      </c>
      <c r="F93" s="34">
        <v>1</v>
      </c>
      <c r="G93" s="48">
        <f t="shared" si="1"/>
        <v>0</v>
      </c>
    </row>
    <row r="94" spans="1:7" x14ac:dyDescent="0.3">
      <c r="A94" s="33">
        <v>45990.617048611108</v>
      </c>
      <c r="B94" s="34">
        <v>930</v>
      </c>
      <c r="C94" s="35">
        <v>1.3636999999999999</v>
      </c>
      <c r="D94" s="36">
        <v>0</v>
      </c>
      <c r="E94" s="37">
        <v>0</v>
      </c>
      <c r="F94" s="34">
        <v>1</v>
      </c>
      <c r="G94" s="48">
        <f t="shared" si="1"/>
        <v>0</v>
      </c>
    </row>
    <row r="95" spans="1:7" x14ac:dyDescent="0.3">
      <c r="A95" s="33">
        <v>45990.617164351854</v>
      </c>
      <c r="B95" s="34">
        <v>940</v>
      </c>
      <c r="C95" s="35">
        <v>1.3687</v>
      </c>
      <c r="D95" s="36">
        <v>0</v>
      </c>
      <c r="E95" s="37">
        <v>0</v>
      </c>
      <c r="F95" s="34">
        <v>1</v>
      </c>
      <c r="G95" s="48">
        <f t="shared" si="1"/>
        <v>0</v>
      </c>
    </row>
    <row r="96" spans="1:7" x14ac:dyDescent="0.3">
      <c r="A96" s="33">
        <v>45990.617280092592</v>
      </c>
      <c r="B96" s="34">
        <v>950</v>
      </c>
      <c r="C96" s="35">
        <v>1.3725000000000001</v>
      </c>
      <c r="D96" s="36">
        <v>0</v>
      </c>
      <c r="E96" s="37">
        <v>0</v>
      </c>
      <c r="F96" s="34">
        <v>1</v>
      </c>
      <c r="G96" s="48">
        <f t="shared" si="1"/>
        <v>0</v>
      </c>
    </row>
    <row r="97" spans="1:7" x14ac:dyDescent="0.3">
      <c r="A97" s="33">
        <v>45990.617395833331</v>
      </c>
      <c r="B97" s="34">
        <v>960</v>
      </c>
      <c r="C97" s="35">
        <v>1.1387</v>
      </c>
      <c r="D97" s="36">
        <v>381.66329999999999</v>
      </c>
      <c r="E97" s="37">
        <v>434.36176</v>
      </c>
      <c r="F97" s="34">
        <v>0</v>
      </c>
      <c r="G97" s="48">
        <f t="shared" si="1"/>
        <v>0.53008791666666666</v>
      </c>
    </row>
    <row r="98" spans="1:7" x14ac:dyDescent="0.3">
      <c r="A98" s="33">
        <v>45990.617511574077</v>
      </c>
      <c r="B98" s="34">
        <v>970</v>
      </c>
      <c r="C98" s="35">
        <v>1.125</v>
      </c>
      <c r="D98" s="36">
        <v>377.5385</v>
      </c>
      <c r="E98" s="37">
        <v>424.98703</v>
      </c>
      <c r="F98" s="34">
        <v>0</v>
      </c>
      <c r="G98" s="48">
        <f t="shared" si="1"/>
        <v>1.0544469444444446</v>
      </c>
    </row>
    <row r="99" spans="1:7" x14ac:dyDescent="0.3">
      <c r="A99" s="33">
        <v>45990.617627314816</v>
      </c>
      <c r="B99" s="34">
        <v>980</v>
      </c>
      <c r="C99" s="35">
        <v>1.1187</v>
      </c>
      <c r="D99" s="36">
        <v>375.36349999999999</v>
      </c>
      <c r="E99" s="37">
        <v>419.98718000000002</v>
      </c>
      <c r="F99" s="34">
        <v>0</v>
      </c>
      <c r="G99" s="48">
        <f t="shared" si="1"/>
        <v>1.0456972222222223</v>
      </c>
    </row>
    <row r="100" spans="1:7" x14ac:dyDescent="0.3">
      <c r="A100" s="33">
        <v>45990.617743055554</v>
      </c>
      <c r="B100" s="34">
        <v>990</v>
      </c>
      <c r="C100" s="35">
        <v>1.1136999999999999</v>
      </c>
      <c r="D100" s="36">
        <v>373.83859999999999</v>
      </c>
      <c r="E100" s="37">
        <v>416.86227000000002</v>
      </c>
      <c r="F100" s="34">
        <v>0</v>
      </c>
      <c r="G100" s="48">
        <f t="shared" si="1"/>
        <v>1.0405584722222223</v>
      </c>
    </row>
    <row r="101" spans="1:7" x14ac:dyDescent="0.3">
      <c r="A101" s="33">
        <v>45990.617858796293</v>
      </c>
      <c r="B101" s="34">
        <v>1000</v>
      </c>
      <c r="C101" s="35">
        <v>1.1112</v>
      </c>
      <c r="D101" s="36">
        <v>372.73860000000002</v>
      </c>
      <c r="E101" s="37">
        <v>413.73737</v>
      </c>
      <c r="F101" s="34">
        <v>0</v>
      </c>
      <c r="G101" s="48">
        <f t="shared" si="1"/>
        <v>1.0369127777777778</v>
      </c>
    </row>
    <row r="102" spans="1:7" x14ac:dyDescent="0.3">
      <c r="A102" s="33">
        <v>45990.617974537039</v>
      </c>
      <c r="B102" s="34">
        <v>1010</v>
      </c>
      <c r="C102" s="35">
        <v>1.1087</v>
      </c>
      <c r="D102" s="36">
        <v>371.86360000000002</v>
      </c>
      <c r="E102" s="37">
        <v>412.48743000000002</v>
      </c>
      <c r="F102" s="34">
        <v>0</v>
      </c>
      <c r="G102" s="48">
        <f t="shared" si="1"/>
        <v>1.0341697222222224</v>
      </c>
    </row>
    <row r="103" spans="1:7" x14ac:dyDescent="0.3">
      <c r="A103" s="33">
        <v>45990.618090277778</v>
      </c>
      <c r="B103" s="34">
        <v>1020</v>
      </c>
      <c r="C103" s="35">
        <v>1.1062000000000001</v>
      </c>
      <c r="D103" s="36">
        <v>371.11369999999999</v>
      </c>
      <c r="E103" s="37">
        <v>409.98748999999998</v>
      </c>
      <c r="F103" s="34">
        <v>0</v>
      </c>
      <c r="G103" s="48">
        <f t="shared" si="1"/>
        <v>1.0319129166666667</v>
      </c>
    </row>
    <row r="104" spans="1:7" x14ac:dyDescent="0.3">
      <c r="A104" s="33">
        <v>45990.618206018517</v>
      </c>
      <c r="B104" s="34">
        <v>1030</v>
      </c>
      <c r="C104" s="35">
        <v>1.1036999999999999</v>
      </c>
      <c r="D104" s="36">
        <v>370.43869999999998</v>
      </c>
      <c r="E104" s="37">
        <v>408.73752000000002</v>
      </c>
      <c r="F104" s="34">
        <v>0</v>
      </c>
      <c r="G104" s="48">
        <f t="shared" si="1"/>
        <v>1.0299338888888889</v>
      </c>
    </row>
    <row r="105" spans="1:7" x14ac:dyDescent="0.3">
      <c r="A105" s="33">
        <v>45990.618321759262</v>
      </c>
      <c r="B105" s="34">
        <v>1040</v>
      </c>
      <c r="C105" s="35">
        <v>1.1012</v>
      </c>
      <c r="D105" s="36">
        <v>369.83870000000002</v>
      </c>
      <c r="E105" s="37">
        <v>407.48755</v>
      </c>
      <c r="F105" s="34">
        <v>0</v>
      </c>
      <c r="G105" s="48">
        <f t="shared" si="1"/>
        <v>1.0281630555555554</v>
      </c>
    </row>
    <row r="106" spans="1:7" x14ac:dyDescent="0.3">
      <c r="A106" s="33">
        <v>45990.618437500001</v>
      </c>
      <c r="B106" s="34">
        <v>1050</v>
      </c>
      <c r="C106" s="35">
        <v>1.1000000000000001</v>
      </c>
      <c r="D106" s="36">
        <v>369.28870000000001</v>
      </c>
      <c r="E106" s="37">
        <v>406.23761000000002</v>
      </c>
      <c r="F106" s="34">
        <v>0</v>
      </c>
      <c r="G106" s="48">
        <f t="shared" si="1"/>
        <v>1.0265658333333334</v>
      </c>
    </row>
    <row r="107" spans="1:7" x14ac:dyDescent="0.3">
      <c r="A107" s="33">
        <v>45990.61855324074</v>
      </c>
      <c r="B107" s="34">
        <v>1060</v>
      </c>
      <c r="C107" s="35">
        <v>1.0987</v>
      </c>
      <c r="D107" s="36">
        <v>368.76369999999997</v>
      </c>
      <c r="E107" s="37">
        <v>405.61261000000002</v>
      </c>
      <c r="F107" s="34">
        <v>0</v>
      </c>
      <c r="G107" s="48">
        <f t="shared" si="1"/>
        <v>1.0250727777777779</v>
      </c>
    </row>
    <row r="108" spans="1:7" x14ac:dyDescent="0.3">
      <c r="A108" s="33">
        <v>45990.618668981479</v>
      </c>
      <c r="B108" s="34">
        <v>1070</v>
      </c>
      <c r="C108" s="35">
        <v>1.0974999999999999</v>
      </c>
      <c r="D108" s="36">
        <v>368.28879999999998</v>
      </c>
      <c r="E108" s="37">
        <v>404.36266999999998</v>
      </c>
      <c r="F108" s="34">
        <v>0</v>
      </c>
      <c r="G108" s="48">
        <f t="shared" si="1"/>
        <v>1.0236840277777779</v>
      </c>
    </row>
    <row r="109" spans="1:7" x14ac:dyDescent="0.3">
      <c r="A109" s="33">
        <v>45990.618784722225</v>
      </c>
      <c r="B109" s="34">
        <v>1080</v>
      </c>
      <c r="C109" s="35">
        <v>1.0962000000000001</v>
      </c>
      <c r="D109" s="36">
        <v>367.86380000000003</v>
      </c>
      <c r="E109" s="37">
        <v>403.11270000000002</v>
      </c>
      <c r="F109" s="34">
        <v>0</v>
      </c>
      <c r="G109" s="48">
        <f t="shared" si="1"/>
        <v>1.0224341666666668</v>
      </c>
    </row>
    <row r="110" spans="1:7" x14ac:dyDescent="0.3">
      <c r="A110" s="33">
        <v>45990.618900462963</v>
      </c>
      <c r="B110" s="34">
        <v>1090</v>
      </c>
      <c r="C110" s="35">
        <v>1.0938000000000001</v>
      </c>
      <c r="D110" s="36">
        <v>367.43880000000001</v>
      </c>
      <c r="E110" s="37">
        <v>401.86273</v>
      </c>
      <c r="F110" s="34">
        <v>0</v>
      </c>
      <c r="G110" s="48">
        <f t="shared" si="1"/>
        <v>1.0212536111111112</v>
      </c>
    </row>
    <row r="111" spans="1:7" x14ac:dyDescent="0.3">
      <c r="A111" s="33">
        <v>45990.619016203702</v>
      </c>
      <c r="B111" s="34">
        <v>1100</v>
      </c>
      <c r="C111" s="35">
        <v>1.0938000000000001</v>
      </c>
      <c r="D111" s="36">
        <v>366.98880000000003</v>
      </c>
      <c r="E111" s="37">
        <v>401.23775999999998</v>
      </c>
      <c r="F111" s="34">
        <v>0</v>
      </c>
      <c r="G111" s="48">
        <f t="shared" si="1"/>
        <v>1.0200383333333334</v>
      </c>
    </row>
    <row r="112" spans="1:7" x14ac:dyDescent="0.3">
      <c r="A112" s="33">
        <v>45990.619131944448</v>
      </c>
      <c r="B112" s="34">
        <v>1110</v>
      </c>
      <c r="C112" s="35">
        <v>1.0925</v>
      </c>
      <c r="D112" s="36">
        <v>366.61380000000003</v>
      </c>
      <c r="E112" s="37">
        <v>400.61275999999998</v>
      </c>
      <c r="F112" s="34">
        <v>0</v>
      </c>
      <c r="G112" s="48">
        <f t="shared" si="1"/>
        <v>1.0188925000000002</v>
      </c>
    </row>
    <row r="113" spans="1:7" x14ac:dyDescent="0.3">
      <c r="A113" s="33">
        <v>45990.619247685187</v>
      </c>
      <c r="B113" s="34">
        <v>1120</v>
      </c>
      <c r="C113" s="35">
        <v>1.0900000000000001</v>
      </c>
      <c r="D113" s="36">
        <v>366.2638</v>
      </c>
      <c r="E113" s="37">
        <v>399.36282</v>
      </c>
      <c r="F113" s="34">
        <v>0</v>
      </c>
      <c r="G113" s="48">
        <f t="shared" si="1"/>
        <v>1.0178855555555557</v>
      </c>
    </row>
    <row r="114" spans="1:7" x14ac:dyDescent="0.3">
      <c r="A114" s="33">
        <v>45990.619363425925</v>
      </c>
      <c r="B114" s="34">
        <v>1130</v>
      </c>
      <c r="C114" s="35">
        <v>1.0900000000000001</v>
      </c>
      <c r="D114" s="36">
        <v>365.93880000000001</v>
      </c>
      <c r="E114" s="37">
        <v>398.11284999999998</v>
      </c>
      <c r="F114" s="34">
        <v>0</v>
      </c>
      <c r="G114" s="48">
        <f t="shared" si="1"/>
        <v>1.0169480555555557</v>
      </c>
    </row>
    <row r="115" spans="1:7" x14ac:dyDescent="0.3">
      <c r="A115" s="33">
        <v>45990.619479166664</v>
      </c>
      <c r="B115" s="34">
        <v>1140</v>
      </c>
      <c r="C115" s="35">
        <v>1.32</v>
      </c>
      <c r="D115" s="36">
        <v>0</v>
      </c>
      <c r="E115" s="37">
        <v>0</v>
      </c>
      <c r="F115" s="34">
        <v>1</v>
      </c>
      <c r="G115" s="48">
        <f t="shared" si="1"/>
        <v>0.50824833333333341</v>
      </c>
    </row>
    <row r="116" spans="1:7" x14ac:dyDescent="0.3">
      <c r="A116" s="33">
        <v>45990.61959490741</v>
      </c>
      <c r="B116" s="34">
        <v>1150</v>
      </c>
      <c r="C116" s="35">
        <v>1.3338000000000001</v>
      </c>
      <c r="D116" s="36">
        <v>0</v>
      </c>
      <c r="E116" s="37">
        <v>0</v>
      </c>
      <c r="F116" s="34">
        <v>1</v>
      </c>
      <c r="G116" s="48">
        <f t="shared" si="1"/>
        <v>0</v>
      </c>
    </row>
    <row r="117" spans="1:7" x14ac:dyDescent="0.3">
      <c r="A117" s="33">
        <v>45990.619710648149</v>
      </c>
      <c r="B117" s="34">
        <v>1160</v>
      </c>
      <c r="C117" s="35">
        <v>1.3425</v>
      </c>
      <c r="D117" s="36">
        <v>0</v>
      </c>
      <c r="E117" s="37">
        <v>0</v>
      </c>
      <c r="F117" s="34">
        <v>1</v>
      </c>
      <c r="G117" s="48">
        <f t="shared" si="1"/>
        <v>0</v>
      </c>
    </row>
    <row r="118" spans="1:7" x14ac:dyDescent="0.3">
      <c r="A118" s="33">
        <v>45990.619826388887</v>
      </c>
      <c r="B118" s="34">
        <v>1170</v>
      </c>
      <c r="C118" s="35">
        <v>1.3487</v>
      </c>
      <c r="D118" s="36">
        <v>0</v>
      </c>
      <c r="E118" s="37">
        <v>0</v>
      </c>
      <c r="F118" s="34">
        <v>1</v>
      </c>
      <c r="G118" s="48">
        <f t="shared" si="1"/>
        <v>0</v>
      </c>
    </row>
    <row r="119" spans="1:7" x14ac:dyDescent="0.3">
      <c r="A119" s="33">
        <v>45990.619942129626</v>
      </c>
      <c r="B119" s="34">
        <v>1180</v>
      </c>
      <c r="C119" s="35">
        <v>1.3536999999999999</v>
      </c>
      <c r="D119" s="36">
        <v>0</v>
      </c>
      <c r="E119" s="37">
        <v>0</v>
      </c>
      <c r="F119" s="34">
        <v>1</v>
      </c>
      <c r="G119" s="48">
        <f t="shared" si="1"/>
        <v>0</v>
      </c>
    </row>
    <row r="120" spans="1:7" x14ac:dyDescent="0.3">
      <c r="A120" s="33">
        <v>45990.620057870372</v>
      </c>
      <c r="B120" s="34">
        <v>1190</v>
      </c>
      <c r="C120" s="35">
        <v>1.3587</v>
      </c>
      <c r="D120" s="36">
        <v>0</v>
      </c>
      <c r="E120" s="37">
        <v>0</v>
      </c>
      <c r="F120" s="34">
        <v>1</v>
      </c>
      <c r="G120" s="48">
        <f t="shared" si="1"/>
        <v>0</v>
      </c>
    </row>
    <row r="121" spans="1:7" x14ac:dyDescent="0.3">
      <c r="A121" s="33">
        <v>45990.620173611111</v>
      </c>
      <c r="B121" s="34">
        <v>1200</v>
      </c>
      <c r="C121" s="35">
        <v>1.1213</v>
      </c>
      <c r="D121" s="36">
        <v>376.51350000000002</v>
      </c>
      <c r="E121" s="37">
        <v>421.86212</v>
      </c>
      <c r="F121" s="34">
        <v>0</v>
      </c>
      <c r="G121" s="48">
        <f t="shared" si="1"/>
        <v>0.52293541666666676</v>
      </c>
    </row>
    <row r="122" spans="1:7" x14ac:dyDescent="0.3">
      <c r="A122" s="33">
        <v>45990.620289351849</v>
      </c>
      <c r="B122" s="34">
        <v>1210</v>
      </c>
      <c r="C122" s="35">
        <v>1.1100000000000001</v>
      </c>
      <c r="D122" s="36">
        <v>372.43860000000001</v>
      </c>
      <c r="E122" s="37">
        <v>413.11239999999998</v>
      </c>
      <c r="F122" s="34">
        <v>0</v>
      </c>
      <c r="G122" s="48">
        <f t="shared" si="1"/>
        <v>1.04021125</v>
      </c>
    </row>
    <row r="123" spans="1:7" x14ac:dyDescent="0.3">
      <c r="A123" s="33">
        <v>45990.620405092595</v>
      </c>
      <c r="B123" s="34">
        <v>1220</v>
      </c>
      <c r="C123" s="35">
        <v>1.1036999999999999</v>
      </c>
      <c r="D123" s="36">
        <v>370.31369999999998</v>
      </c>
      <c r="E123" s="37">
        <v>408.73752000000002</v>
      </c>
      <c r="F123" s="34">
        <v>0</v>
      </c>
      <c r="G123" s="48">
        <f t="shared" si="1"/>
        <v>1.0316004166666668</v>
      </c>
    </row>
    <row r="124" spans="1:7" x14ac:dyDescent="0.3">
      <c r="A124" s="33">
        <v>45990.620520833334</v>
      </c>
      <c r="B124" s="34">
        <v>1230</v>
      </c>
      <c r="C124" s="35">
        <v>1.0987</v>
      </c>
      <c r="D124" s="36">
        <v>368.86369999999999</v>
      </c>
      <c r="E124" s="37">
        <v>405.61261000000002</v>
      </c>
      <c r="F124" s="34">
        <v>0</v>
      </c>
      <c r="G124" s="48">
        <f t="shared" si="1"/>
        <v>1.0266352777777779</v>
      </c>
    </row>
    <row r="125" spans="1:7" x14ac:dyDescent="0.3">
      <c r="A125" s="33">
        <v>45990.620636574073</v>
      </c>
      <c r="B125" s="34">
        <v>1240</v>
      </c>
      <c r="C125" s="35">
        <v>1.0962000000000001</v>
      </c>
      <c r="D125" s="36">
        <v>367.81380000000001</v>
      </c>
      <c r="E125" s="37">
        <v>403.11270000000002</v>
      </c>
      <c r="F125" s="34">
        <v>0</v>
      </c>
      <c r="G125" s="48">
        <f t="shared" si="1"/>
        <v>1.0231631944444446</v>
      </c>
    </row>
    <row r="126" spans="1:7" x14ac:dyDescent="0.3">
      <c r="A126" s="33">
        <v>45990.620752314811</v>
      </c>
      <c r="B126" s="34">
        <v>1250</v>
      </c>
      <c r="C126" s="35">
        <v>1.0925</v>
      </c>
      <c r="D126" s="36">
        <v>366.91379999999998</v>
      </c>
      <c r="E126" s="37">
        <v>400.61275999999998</v>
      </c>
      <c r="F126" s="34">
        <v>0</v>
      </c>
      <c r="G126" s="48">
        <f t="shared" si="1"/>
        <v>1.0204549999999999</v>
      </c>
    </row>
    <row r="127" spans="1:7" x14ac:dyDescent="0.3">
      <c r="A127" s="33">
        <v>45990.620868055557</v>
      </c>
      <c r="B127" s="34">
        <v>1260</v>
      </c>
      <c r="C127" s="35">
        <v>1.0900000000000001</v>
      </c>
      <c r="D127" s="36">
        <v>366.18880000000001</v>
      </c>
      <c r="E127" s="37">
        <v>399.36282</v>
      </c>
      <c r="F127" s="34">
        <v>0</v>
      </c>
      <c r="G127" s="48">
        <f t="shared" si="1"/>
        <v>1.0181980555555554</v>
      </c>
    </row>
    <row r="128" spans="1:7" x14ac:dyDescent="0.3">
      <c r="A128" s="33">
        <v>45990.620983796296</v>
      </c>
      <c r="B128" s="34">
        <v>1270</v>
      </c>
      <c r="C128" s="35">
        <v>1.0888</v>
      </c>
      <c r="D128" s="36">
        <v>365.61380000000003</v>
      </c>
      <c r="E128" s="37">
        <v>398.11284999999998</v>
      </c>
      <c r="F128" s="34">
        <v>0</v>
      </c>
      <c r="G128" s="48">
        <f t="shared" si="1"/>
        <v>1.0163925</v>
      </c>
    </row>
    <row r="129" spans="1:7" x14ac:dyDescent="0.3">
      <c r="A129" s="33">
        <v>45990.621099537035</v>
      </c>
      <c r="B129" s="34">
        <v>1280</v>
      </c>
      <c r="C129" s="35">
        <v>1.0874999999999999</v>
      </c>
      <c r="D129" s="36">
        <v>365.1139</v>
      </c>
      <c r="E129" s="37">
        <v>397.48784999999998</v>
      </c>
      <c r="F129" s="34">
        <v>0</v>
      </c>
      <c r="G129" s="48">
        <f t="shared" si="1"/>
        <v>1.0148995833333334</v>
      </c>
    </row>
    <row r="130" spans="1:7" x14ac:dyDescent="0.3">
      <c r="A130" s="33">
        <v>45990.621215277781</v>
      </c>
      <c r="B130" s="34">
        <v>1290</v>
      </c>
      <c r="C130" s="35">
        <v>1.0862000000000001</v>
      </c>
      <c r="D130" s="36">
        <v>364.63889999999998</v>
      </c>
      <c r="E130" s="37">
        <v>395.61291999999997</v>
      </c>
      <c r="F130" s="34">
        <v>0</v>
      </c>
      <c r="G130" s="48">
        <f t="shared" si="1"/>
        <v>1.0135455555555555</v>
      </c>
    </row>
    <row r="131" spans="1:7" x14ac:dyDescent="0.3">
      <c r="A131" s="33">
        <v>45990.621331018519</v>
      </c>
      <c r="B131" s="34">
        <v>1300</v>
      </c>
      <c r="C131" s="35">
        <v>1.0838000000000001</v>
      </c>
      <c r="D131" s="36">
        <v>364.18889999999999</v>
      </c>
      <c r="E131" s="37">
        <v>394.36297999999999</v>
      </c>
      <c r="F131" s="34">
        <v>0</v>
      </c>
      <c r="G131" s="48">
        <f t="shared" si="1"/>
        <v>1.0122608333333334</v>
      </c>
    </row>
    <row r="132" spans="1:7" x14ac:dyDescent="0.3">
      <c r="A132" s="33">
        <v>45990.621446759258</v>
      </c>
      <c r="B132" s="34">
        <v>1310</v>
      </c>
      <c r="C132" s="35">
        <v>1.0825</v>
      </c>
      <c r="D132" s="36">
        <v>363.81389999999999</v>
      </c>
      <c r="E132" s="37">
        <v>394.36297999999999</v>
      </c>
      <c r="F132" s="34">
        <v>0</v>
      </c>
      <c r="G132" s="48">
        <f t="shared" si="1"/>
        <v>1.011115</v>
      </c>
    </row>
    <row r="133" spans="1:7" x14ac:dyDescent="0.3">
      <c r="A133" s="33">
        <v>45990.621562499997</v>
      </c>
      <c r="B133" s="34">
        <v>1320</v>
      </c>
      <c r="C133" s="35">
        <v>1.0811999999999999</v>
      </c>
      <c r="D133" s="36">
        <v>363.41390000000001</v>
      </c>
      <c r="E133" s="37">
        <v>393.11300999999997</v>
      </c>
      <c r="F133" s="34">
        <v>0</v>
      </c>
      <c r="G133" s="48">
        <f t="shared" si="1"/>
        <v>1.0100386111111113</v>
      </c>
    </row>
    <row r="134" spans="1:7" x14ac:dyDescent="0.3">
      <c r="A134" s="33">
        <v>45990.621678240743</v>
      </c>
      <c r="B134" s="34">
        <v>1330</v>
      </c>
      <c r="C134" s="35">
        <v>1.08</v>
      </c>
      <c r="D134" s="36">
        <v>363.03890000000001</v>
      </c>
      <c r="E134" s="37">
        <v>392.48804000000001</v>
      </c>
      <c r="F134" s="34">
        <v>0</v>
      </c>
      <c r="G134" s="48">
        <f t="shared" ref="G134:G197" si="2">($B$2/3600)*(D133+D134)/2</f>
        <v>1.0089622222222223</v>
      </c>
    </row>
    <row r="135" spans="1:7" x14ac:dyDescent="0.3">
      <c r="A135" s="33">
        <v>45990.621793981481</v>
      </c>
      <c r="B135" s="34">
        <v>1340</v>
      </c>
      <c r="C135" s="35">
        <v>1.08</v>
      </c>
      <c r="D135" s="36">
        <v>362.68889999999999</v>
      </c>
      <c r="E135" s="37">
        <v>391.86304000000001</v>
      </c>
      <c r="F135" s="34">
        <v>0</v>
      </c>
      <c r="G135" s="48">
        <f t="shared" si="2"/>
        <v>1.0079552777777778</v>
      </c>
    </row>
    <row r="136" spans="1:7" x14ac:dyDescent="0.3">
      <c r="A136" s="33">
        <v>45990.62190972222</v>
      </c>
      <c r="B136" s="34">
        <v>1350</v>
      </c>
      <c r="C136" s="35">
        <v>1.0788</v>
      </c>
      <c r="D136" s="36">
        <v>362.38889999999998</v>
      </c>
      <c r="E136" s="37">
        <v>391.23806999999999</v>
      </c>
      <c r="F136" s="34">
        <v>0</v>
      </c>
      <c r="G136" s="48">
        <f t="shared" si="2"/>
        <v>1.0070525000000001</v>
      </c>
    </row>
    <row r="137" spans="1:7" x14ac:dyDescent="0.3">
      <c r="A137" s="33">
        <v>45990.622025462966</v>
      </c>
      <c r="B137" s="34">
        <v>1360</v>
      </c>
      <c r="C137" s="35">
        <v>1.0788</v>
      </c>
      <c r="D137" s="36">
        <v>362.11399999999998</v>
      </c>
      <c r="E137" s="37">
        <v>389.98809999999997</v>
      </c>
      <c r="F137" s="34">
        <v>0</v>
      </c>
      <c r="G137" s="48">
        <f t="shared" si="2"/>
        <v>1.0062540277777778</v>
      </c>
    </row>
    <row r="138" spans="1:7" x14ac:dyDescent="0.3">
      <c r="A138" s="33">
        <v>45990.622141203705</v>
      </c>
      <c r="B138" s="34">
        <v>1370</v>
      </c>
      <c r="C138" s="35">
        <v>1.0711999999999999</v>
      </c>
      <c r="D138" s="36">
        <v>359.839</v>
      </c>
      <c r="E138" s="37">
        <v>384.98824999999999</v>
      </c>
      <c r="F138" s="34">
        <v>0</v>
      </c>
      <c r="G138" s="48">
        <f t="shared" si="2"/>
        <v>1.0027124999999999</v>
      </c>
    </row>
    <row r="139" spans="1:7" x14ac:dyDescent="0.3">
      <c r="A139" s="33">
        <v>45990.622256944444</v>
      </c>
      <c r="B139" s="34">
        <v>1380</v>
      </c>
      <c r="C139" s="35">
        <v>1.3075000000000001</v>
      </c>
      <c r="D139" s="36">
        <v>0</v>
      </c>
      <c r="E139" s="37">
        <v>0</v>
      </c>
      <c r="F139" s="34">
        <v>1</v>
      </c>
      <c r="G139" s="48">
        <f t="shared" si="2"/>
        <v>0.49977638888888892</v>
      </c>
    </row>
    <row r="140" spans="1:7" x14ac:dyDescent="0.3">
      <c r="A140" s="33">
        <v>45990.622372685182</v>
      </c>
      <c r="B140" s="34">
        <v>1390</v>
      </c>
      <c r="C140" s="35">
        <v>1.3211999999999999</v>
      </c>
      <c r="D140" s="36">
        <v>0</v>
      </c>
      <c r="E140" s="37">
        <v>0</v>
      </c>
      <c r="F140" s="34">
        <v>1</v>
      </c>
      <c r="G140" s="48">
        <f t="shared" si="2"/>
        <v>0</v>
      </c>
    </row>
    <row r="141" spans="1:7" x14ac:dyDescent="0.3">
      <c r="A141" s="33">
        <v>45990.622488425928</v>
      </c>
      <c r="B141" s="34">
        <v>1400</v>
      </c>
      <c r="C141" s="35">
        <v>1.33</v>
      </c>
      <c r="D141" s="36">
        <v>0</v>
      </c>
      <c r="E141" s="37">
        <v>0</v>
      </c>
      <c r="F141" s="34">
        <v>1</v>
      </c>
      <c r="G141" s="48">
        <f t="shared" si="2"/>
        <v>0</v>
      </c>
    </row>
    <row r="142" spans="1:7" x14ac:dyDescent="0.3">
      <c r="A142" s="33">
        <v>45990.622604166667</v>
      </c>
      <c r="B142" s="34">
        <v>1410</v>
      </c>
      <c r="C142" s="35">
        <v>1.3362000000000001</v>
      </c>
      <c r="D142" s="36">
        <v>0</v>
      </c>
      <c r="E142" s="37">
        <v>0</v>
      </c>
      <c r="F142" s="34">
        <v>1</v>
      </c>
      <c r="G142" s="48">
        <f t="shared" si="2"/>
        <v>0</v>
      </c>
    </row>
    <row r="143" spans="1:7" x14ac:dyDescent="0.3">
      <c r="A143" s="33">
        <v>45990.622719907406</v>
      </c>
      <c r="B143" s="34">
        <v>1420</v>
      </c>
      <c r="C143" s="35">
        <v>1.34</v>
      </c>
      <c r="D143" s="36">
        <v>0</v>
      </c>
      <c r="E143" s="37">
        <v>0</v>
      </c>
      <c r="F143" s="34">
        <v>1</v>
      </c>
      <c r="G143" s="48">
        <f t="shared" si="2"/>
        <v>0</v>
      </c>
    </row>
    <row r="144" spans="1:7" x14ac:dyDescent="0.3">
      <c r="A144" s="33">
        <v>45990.622835648152</v>
      </c>
      <c r="B144" s="34">
        <v>1430</v>
      </c>
      <c r="C144" s="35">
        <v>1.345</v>
      </c>
      <c r="D144" s="36">
        <v>0</v>
      </c>
      <c r="E144" s="37">
        <v>0</v>
      </c>
      <c r="F144" s="34">
        <v>1</v>
      </c>
      <c r="G144" s="48">
        <f t="shared" si="2"/>
        <v>0</v>
      </c>
    </row>
    <row r="145" spans="1:7" x14ac:dyDescent="0.3">
      <c r="A145" s="33">
        <v>45990.62295138889</v>
      </c>
      <c r="B145" s="34">
        <v>1440</v>
      </c>
      <c r="C145" s="35">
        <v>1.1136999999999999</v>
      </c>
      <c r="D145" s="36">
        <v>373.5136</v>
      </c>
      <c r="E145" s="37">
        <v>415.6123</v>
      </c>
      <c r="F145" s="34">
        <v>0</v>
      </c>
      <c r="G145" s="48">
        <f t="shared" si="2"/>
        <v>0.51876888888888895</v>
      </c>
    </row>
    <row r="146" spans="1:7" x14ac:dyDescent="0.3">
      <c r="A146" s="33">
        <v>45990.623067129629</v>
      </c>
      <c r="B146" s="34">
        <v>1450</v>
      </c>
      <c r="C146" s="35">
        <v>1.1000000000000001</v>
      </c>
      <c r="D146" s="36">
        <v>369.51369999999997</v>
      </c>
      <c r="E146" s="37">
        <v>406.23761000000002</v>
      </c>
      <c r="F146" s="34">
        <v>0</v>
      </c>
      <c r="G146" s="48">
        <f t="shared" si="2"/>
        <v>1.0319823611111112</v>
      </c>
    </row>
    <row r="147" spans="1:7" x14ac:dyDescent="0.3">
      <c r="A147" s="33">
        <v>45990.623182870368</v>
      </c>
      <c r="B147" s="34">
        <v>1460</v>
      </c>
      <c r="C147" s="35">
        <v>1.095</v>
      </c>
      <c r="D147" s="36">
        <v>367.43880000000001</v>
      </c>
      <c r="E147" s="37">
        <v>401.86273</v>
      </c>
      <c r="F147" s="34">
        <v>0</v>
      </c>
      <c r="G147" s="48">
        <f t="shared" si="2"/>
        <v>1.023545138888889</v>
      </c>
    </row>
    <row r="148" spans="1:7" x14ac:dyDescent="0.3">
      <c r="A148" s="33">
        <v>45990.623298611114</v>
      </c>
      <c r="B148" s="34">
        <v>1470</v>
      </c>
      <c r="C148" s="35">
        <v>1.0900000000000001</v>
      </c>
      <c r="D148" s="36">
        <v>366.06380000000001</v>
      </c>
      <c r="E148" s="37">
        <v>398.73782</v>
      </c>
      <c r="F148" s="34">
        <v>0</v>
      </c>
      <c r="G148" s="48">
        <f t="shared" si="2"/>
        <v>1.0187536111111113</v>
      </c>
    </row>
    <row r="149" spans="1:7" x14ac:dyDescent="0.3">
      <c r="A149" s="33">
        <v>45990.623414351852</v>
      </c>
      <c r="B149" s="34">
        <v>1480</v>
      </c>
      <c r="C149" s="35">
        <v>1.0862000000000001</v>
      </c>
      <c r="D149" s="36">
        <v>365.01389999999998</v>
      </c>
      <c r="E149" s="37">
        <v>396.23791999999997</v>
      </c>
      <c r="F149" s="34">
        <v>0</v>
      </c>
      <c r="G149" s="48">
        <f t="shared" si="2"/>
        <v>1.0153856944444446</v>
      </c>
    </row>
    <row r="150" spans="1:7" x14ac:dyDescent="0.3">
      <c r="A150" s="33">
        <v>45990.623530092591</v>
      </c>
      <c r="B150" s="34">
        <v>1490</v>
      </c>
      <c r="C150" s="35">
        <v>1.085</v>
      </c>
      <c r="D150" s="36">
        <v>364.21390000000002</v>
      </c>
      <c r="E150" s="37">
        <v>394.98795000000001</v>
      </c>
      <c r="F150" s="34">
        <v>0</v>
      </c>
      <c r="G150" s="48">
        <f t="shared" si="2"/>
        <v>1.012816388888889</v>
      </c>
    </row>
    <row r="151" spans="1:7" x14ac:dyDescent="0.3">
      <c r="A151" s="33">
        <v>45990.623645833337</v>
      </c>
      <c r="B151" s="34">
        <v>1500</v>
      </c>
      <c r="C151" s="35">
        <v>1.0825</v>
      </c>
      <c r="D151" s="36">
        <v>363.51389999999998</v>
      </c>
      <c r="E151" s="37">
        <v>393.11300999999997</v>
      </c>
      <c r="F151" s="34">
        <v>0</v>
      </c>
      <c r="G151" s="48">
        <f t="shared" si="2"/>
        <v>1.0107330555555556</v>
      </c>
    </row>
    <row r="152" spans="1:7" x14ac:dyDescent="0.3">
      <c r="A152" s="33">
        <v>45990.623761574076</v>
      </c>
      <c r="B152" s="34">
        <v>1510</v>
      </c>
      <c r="C152" s="35">
        <v>1.08</v>
      </c>
      <c r="D152" s="36">
        <v>362.93889999999999</v>
      </c>
      <c r="E152" s="37">
        <v>392.48804000000001</v>
      </c>
      <c r="F152" s="34">
        <v>0</v>
      </c>
      <c r="G152" s="48">
        <f t="shared" si="2"/>
        <v>1.0089622222222223</v>
      </c>
    </row>
    <row r="153" spans="1:7" x14ac:dyDescent="0.3">
      <c r="A153" s="33">
        <v>45990.623877314814</v>
      </c>
      <c r="B153" s="34">
        <v>1520</v>
      </c>
      <c r="C153" s="35">
        <v>1.08</v>
      </c>
      <c r="D153" s="36">
        <v>362.41390000000001</v>
      </c>
      <c r="E153" s="37">
        <v>391.23806999999999</v>
      </c>
      <c r="F153" s="34">
        <v>0</v>
      </c>
      <c r="G153" s="48">
        <f t="shared" si="2"/>
        <v>1.0074344444444445</v>
      </c>
    </row>
    <row r="154" spans="1:7" x14ac:dyDescent="0.3">
      <c r="A154" s="33">
        <v>45990.623993055553</v>
      </c>
      <c r="B154" s="34">
        <v>1530</v>
      </c>
      <c r="C154" s="35">
        <v>1.0774999999999999</v>
      </c>
      <c r="D154" s="36">
        <v>361.98899999999998</v>
      </c>
      <c r="E154" s="37">
        <v>389.98809999999997</v>
      </c>
      <c r="F154" s="34">
        <v>0</v>
      </c>
      <c r="G154" s="48">
        <f t="shared" si="2"/>
        <v>1.0061151388888889</v>
      </c>
    </row>
    <row r="155" spans="1:7" x14ac:dyDescent="0.3">
      <c r="A155" s="33">
        <v>45990.624108796299</v>
      </c>
      <c r="B155" s="34">
        <v>1540</v>
      </c>
      <c r="C155" s="35">
        <v>1.0762</v>
      </c>
      <c r="D155" s="36">
        <v>361.53899999999999</v>
      </c>
      <c r="E155" s="37">
        <v>389.36313000000001</v>
      </c>
      <c r="F155" s="34">
        <v>0</v>
      </c>
      <c r="G155" s="48">
        <f t="shared" si="2"/>
        <v>1.0049000000000001</v>
      </c>
    </row>
    <row r="156" spans="1:7" x14ac:dyDescent="0.3">
      <c r="A156" s="33">
        <v>45990.624224537038</v>
      </c>
      <c r="B156" s="34">
        <v>1550</v>
      </c>
      <c r="C156" s="35">
        <v>1.075</v>
      </c>
      <c r="D156" s="36">
        <v>361.13900000000001</v>
      </c>
      <c r="E156" s="37">
        <v>388.11315999999999</v>
      </c>
      <c r="F156" s="34">
        <v>0</v>
      </c>
      <c r="G156" s="48">
        <f t="shared" si="2"/>
        <v>1.0037194444444444</v>
      </c>
    </row>
    <row r="157" spans="1:7" x14ac:dyDescent="0.3">
      <c r="A157" s="33">
        <v>45990.624340277776</v>
      </c>
      <c r="B157" s="34">
        <v>1560</v>
      </c>
      <c r="C157" s="35">
        <v>1.0738000000000001</v>
      </c>
      <c r="D157" s="36">
        <v>360.81400000000002</v>
      </c>
      <c r="E157" s="37">
        <v>387.48815999999999</v>
      </c>
      <c r="F157" s="34">
        <v>0</v>
      </c>
      <c r="G157" s="48">
        <f t="shared" si="2"/>
        <v>1.0027124999999999</v>
      </c>
    </row>
    <row r="158" spans="1:7" x14ac:dyDescent="0.3">
      <c r="A158" s="33">
        <v>45990.624456018515</v>
      </c>
      <c r="B158" s="34">
        <v>1570</v>
      </c>
      <c r="C158" s="35">
        <v>1.0738000000000001</v>
      </c>
      <c r="D158" s="36">
        <v>360.464</v>
      </c>
      <c r="E158" s="37">
        <v>386.86318999999997</v>
      </c>
      <c r="F158" s="34">
        <v>0</v>
      </c>
      <c r="G158" s="48">
        <f t="shared" si="2"/>
        <v>1.0017750000000001</v>
      </c>
    </row>
    <row r="159" spans="1:7" x14ac:dyDescent="0.3">
      <c r="A159" s="33">
        <v>45990.624571759261</v>
      </c>
      <c r="B159" s="34">
        <v>1580</v>
      </c>
      <c r="C159" s="35">
        <v>1.0725</v>
      </c>
      <c r="D159" s="36">
        <v>360.16399999999999</v>
      </c>
      <c r="E159" s="37">
        <v>386.23822000000001</v>
      </c>
      <c r="F159" s="34">
        <v>0</v>
      </c>
      <c r="G159" s="48">
        <f t="shared" si="2"/>
        <v>1.0008722222222222</v>
      </c>
    </row>
    <row r="160" spans="1:7" x14ac:dyDescent="0.3">
      <c r="A160" s="33">
        <v>45990.6246875</v>
      </c>
      <c r="B160" s="34">
        <v>1590</v>
      </c>
      <c r="C160" s="35">
        <v>1.0711999999999999</v>
      </c>
      <c r="D160" s="36">
        <v>359.86399999999998</v>
      </c>
      <c r="E160" s="37">
        <v>384.98824999999999</v>
      </c>
      <c r="F160" s="34">
        <v>0</v>
      </c>
      <c r="G160" s="48">
        <f t="shared" si="2"/>
        <v>1.0000388888888889</v>
      </c>
    </row>
    <row r="161" spans="1:7" x14ac:dyDescent="0.3">
      <c r="A161" s="33">
        <v>45990.624803240738</v>
      </c>
      <c r="B161" s="34">
        <v>1600</v>
      </c>
      <c r="C161" s="35">
        <v>1.07</v>
      </c>
      <c r="D161" s="36">
        <v>359.56400000000002</v>
      </c>
      <c r="E161" s="37">
        <v>384.98824999999999</v>
      </c>
      <c r="F161" s="34">
        <v>0</v>
      </c>
      <c r="G161" s="48">
        <f t="shared" si="2"/>
        <v>0.99920555555555557</v>
      </c>
    </row>
    <row r="162" spans="1:7" x14ac:dyDescent="0.3">
      <c r="A162" s="33">
        <v>45990.624918981484</v>
      </c>
      <c r="B162" s="34">
        <v>1610</v>
      </c>
      <c r="C162" s="35">
        <v>1.0688</v>
      </c>
      <c r="D162" s="36">
        <v>359.31400000000002</v>
      </c>
      <c r="E162" s="37">
        <v>383.73827999999997</v>
      </c>
      <c r="F162" s="34">
        <v>0</v>
      </c>
      <c r="G162" s="48">
        <f t="shared" si="2"/>
        <v>0.99844166666666678</v>
      </c>
    </row>
    <row r="163" spans="1:7" x14ac:dyDescent="0.3">
      <c r="A163" s="33">
        <v>45990.625034722223</v>
      </c>
      <c r="B163" s="34">
        <v>1620</v>
      </c>
      <c r="C163" s="35">
        <v>1.2962</v>
      </c>
      <c r="D163" s="36">
        <v>0</v>
      </c>
      <c r="E163" s="37">
        <v>0</v>
      </c>
      <c r="F163" s="34">
        <v>1</v>
      </c>
      <c r="G163" s="48">
        <f t="shared" si="2"/>
        <v>0.49904722222222225</v>
      </c>
    </row>
    <row r="164" spans="1:7" x14ac:dyDescent="0.3">
      <c r="A164" s="33">
        <v>45990.625150462962</v>
      </c>
      <c r="B164" s="34">
        <v>1630</v>
      </c>
      <c r="C164" s="35">
        <v>1.31</v>
      </c>
      <c r="D164" s="36">
        <v>0</v>
      </c>
      <c r="E164" s="37">
        <v>0</v>
      </c>
      <c r="F164" s="34">
        <v>1</v>
      </c>
      <c r="G164" s="48">
        <f t="shared" si="2"/>
        <v>0</v>
      </c>
    </row>
    <row r="165" spans="1:7" x14ac:dyDescent="0.3">
      <c r="A165" s="33">
        <v>45990.6252662037</v>
      </c>
      <c r="B165" s="34">
        <v>1640</v>
      </c>
      <c r="C165" s="35">
        <v>1.32</v>
      </c>
      <c r="D165" s="36">
        <v>0</v>
      </c>
      <c r="E165" s="37">
        <v>0</v>
      </c>
      <c r="F165" s="34">
        <v>1</v>
      </c>
      <c r="G165" s="48">
        <f t="shared" si="2"/>
        <v>0</v>
      </c>
    </row>
    <row r="166" spans="1:7" x14ac:dyDescent="0.3">
      <c r="A166" s="33">
        <v>45990.625381944446</v>
      </c>
      <c r="B166" s="34">
        <v>1650</v>
      </c>
      <c r="C166" s="35">
        <v>1.325</v>
      </c>
      <c r="D166" s="36">
        <v>0</v>
      </c>
      <c r="E166" s="37">
        <v>0</v>
      </c>
      <c r="F166" s="34">
        <v>1</v>
      </c>
      <c r="G166" s="48">
        <f t="shared" si="2"/>
        <v>0</v>
      </c>
    </row>
    <row r="167" spans="1:7" x14ac:dyDescent="0.3">
      <c r="A167" s="33">
        <v>45990.625497685185</v>
      </c>
      <c r="B167" s="34">
        <v>1660</v>
      </c>
      <c r="C167" s="35">
        <v>1.33</v>
      </c>
      <c r="D167" s="36">
        <v>2.5000000000000001E-2</v>
      </c>
      <c r="E167" s="37">
        <v>0</v>
      </c>
      <c r="F167" s="34">
        <v>1</v>
      </c>
      <c r="G167" s="48">
        <f t="shared" si="2"/>
        <v>3.4722222222222222E-5</v>
      </c>
    </row>
    <row r="168" spans="1:7" x14ac:dyDescent="0.3">
      <c r="A168" s="33">
        <v>45990.625613425924</v>
      </c>
      <c r="B168" s="34">
        <v>1670</v>
      </c>
      <c r="C168" s="35">
        <v>1.3338000000000001</v>
      </c>
      <c r="D168" s="36">
        <v>0</v>
      </c>
      <c r="E168" s="37">
        <v>0</v>
      </c>
      <c r="F168" s="34">
        <v>1</v>
      </c>
      <c r="G168" s="48">
        <f t="shared" si="2"/>
        <v>3.4722222222222222E-5</v>
      </c>
    </row>
    <row r="169" spans="1:7" x14ac:dyDescent="0.3">
      <c r="A169" s="33">
        <v>45990.62572916667</v>
      </c>
      <c r="B169" s="34">
        <v>1680</v>
      </c>
      <c r="C169" s="35">
        <v>1.1025</v>
      </c>
      <c r="D169" s="36">
        <v>369.98869999999999</v>
      </c>
      <c r="E169" s="37">
        <v>407.48755</v>
      </c>
      <c r="F169" s="34">
        <v>0</v>
      </c>
      <c r="G169" s="48">
        <f t="shared" si="2"/>
        <v>0.51387319444444446</v>
      </c>
    </row>
    <row r="170" spans="1:7" x14ac:dyDescent="0.3">
      <c r="A170" s="33">
        <v>45990.625844907408</v>
      </c>
      <c r="B170" s="34">
        <v>1690</v>
      </c>
      <c r="C170" s="35">
        <v>1.0900000000000001</v>
      </c>
      <c r="D170" s="36">
        <v>366.03879999999998</v>
      </c>
      <c r="E170" s="37">
        <v>399.36282</v>
      </c>
      <c r="F170" s="34">
        <v>0</v>
      </c>
      <c r="G170" s="48">
        <f t="shared" si="2"/>
        <v>1.0222604166666667</v>
      </c>
    </row>
    <row r="171" spans="1:7" x14ac:dyDescent="0.3">
      <c r="A171" s="33">
        <v>45990.625960648147</v>
      </c>
      <c r="B171" s="34">
        <v>1700</v>
      </c>
      <c r="C171" s="35">
        <v>1.0838000000000001</v>
      </c>
      <c r="D171" s="36">
        <v>364.01389999999998</v>
      </c>
      <c r="E171" s="37">
        <v>394.36297999999999</v>
      </c>
      <c r="F171" s="34">
        <v>0</v>
      </c>
      <c r="G171" s="48">
        <f t="shared" si="2"/>
        <v>1.0139620833333334</v>
      </c>
    </row>
    <row r="172" spans="1:7" x14ac:dyDescent="0.3">
      <c r="A172" s="33">
        <v>45990.626076388886</v>
      </c>
      <c r="B172" s="34">
        <v>1710</v>
      </c>
      <c r="C172" s="35">
        <v>1.0788</v>
      </c>
      <c r="D172" s="36">
        <v>362.66390000000001</v>
      </c>
      <c r="E172" s="37">
        <v>391.23806999999999</v>
      </c>
      <c r="F172" s="34">
        <v>0</v>
      </c>
      <c r="G172" s="48">
        <f t="shared" si="2"/>
        <v>1.0092747222222223</v>
      </c>
    </row>
    <row r="173" spans="1:7" x14ac:dyDescent="0.3">
      <c r="A173" s="33">
        <v>45990.626192129632</v>
      </c>
      <c r="B173" s="34">
        <v>1720</v>
      </c>
      <c r="C173" s="35">
        <v>1.0774999999999999</v>
      </c>
      <c r="D173" s="36">
        <v>361.63889999999998</v>
      </c>
      <c r="E173" s="37">
        <v>389.36313000000001</v>
      </c>
      <c r="F173" s="34">
        <v>0</v>
      </c>
      <c r="G173" s="48">
        <f t="shared" si="2"/>
        <v>1.005976111111111</v>
      </c>
    </row>
    <row r="174" spans="1:7" x14ac:dyDescent="0.3">
      <c r="A174" s="33">
        <v>45990.626307870371</v>
      </c>
      <c r="B174" s="34">
        <v>1730</v>
      </c>
      <c r="C174" s="35">
        <v>1.0738000000000001</v>
      </c>
      <c r="D174" s="36">
        <v>360.81400000000002</v>
      </c>
      <c r="E174" s="37">
        <v>387.48815999999999</v>
      </c>
      <c r="F174" s="34">
        <v>0</v>
      </c>
      <c r="G174" s="48">
        <f t="shared" si="2"/>
        <v>1.0034068055555556</v>
      </c>
    </row>
    <row r="175" spans="1:7" x14ac:dyDescent="0.3">
      <c r="A175" s="33">
        <v>45990.626423611109</v>
      </c>
      <c r="B175" s="34">
        <v>1740</v>
      </c>
      <c r="C175" s="35">
        <v>1.0725</v>
      </c>
      <c r="D175" s="36">
        <v>360.16399999999999</v>
      </c>
      <c r="E175" s="37">
        <v>386.23822000000001</v>
      </c>
      <c r="F175" s="34">
        <v>0</v>
      </c>
      <c r="G175" s="48">
        <f t="shared" si="2"/>
        <v>1.0013583333333336</v>
      </c>
    </row>
    <row r="176" spans="1:7" x14ac:dyDescent="0.3">
      <c r="A176" s="33">
        <v>45990.626539351855</v>
      </c>
      <c r="B176" s="34">
        <v>1750</v>
      </c>
      <c r="C176" s="35">
        <v>1.07</v>
      </c>
      <c r="D176" s="36">
        <v>359.589</v>
      </c>
      <c r="E176" s="37">
        <v>384.98824999999999</v>
      </c>
      <c r="F176" s="34">
        <v>0</v>
      </c>
      <c r="G176" s="48">
        <f t="shared" si="2"/>
        <v>0.99965694444444442</v>
      </c>
    </row>
    <row r="177" spans="1:7" x14ac:dyDescent="0.3">
      <c r="A177" s="33">
        <v>45990.626655092594</v>
      </c>
      <c r="B177" s="34">
        <v>1760</v>
      </c>
      <c r="C177" s="35">
        <v>1.0688</v>
      </c>
      <c r="D177" s="36">
        <v>359.089</v>
      </c>
      <c r="E177" s="37">
        <v>383.73827999999997</v>
      </c>
      <c r="F177" s="34">
        <v>0</v>
      </c>
      <c r="G177" s="48">
        <f t="shared" si="2"/>
        <v>0.99816388888888896</v>
      </c>
    </row>
    <row r="178" spans="1:7" x14ac:dyDescent="0.3">
      <c r="A178" s="33">
        <v>45990.626770833333</v>
      </c>
      <c r="B178" s="34">
        <v>1770</v>
      </c>
      <c r="C178" s="35">
        <v>1.0674999999999999</v>
      </c>
      <c r="D178" s="36">
        <v>358.63900000000001</v>
      </c>
      <c r="E178" s="37">
        <v>383.11331000000001</v>
      </c>
      <c r="F178" s="34">
        <v>0</v>
      </c>
      <c r="G178" s="48">
        <f t="shared" si="2"/>
        <v>0.99684444444444453</v>
      </c>
    </row>
    <row r="179" spans="1:7" x14ac:dyDescent="0.3">
      <c r="A179" s="33">
        <v>45990.626886574071</v>
      </c>
      <c r="B179" s="34">
        <v>1780</v>
      </c>
      <c r="C179" s="35">
        <v>1.0662</v>
      </c>
      <c r="D179" s="36">
        <v>358.21409999999997</v>
      </c>
      <c r="E179" s="37">
        <v>381.86333999999999</v>
      </c>
      <c r="F179" s="34">
        <v>0</v>
      </c>
      <c r="G179" s="48">
        <f t="shared" si="2"/>
        <v>0.99562930555555562</v>
      </c>
    </row>
    <row r="180" spans="1:7" x14ac:dyDescent="0.3">
      <c r="A180" s="33">
        <v>45990.627002314817</v>
      </c>
      <c r="B180" s="34">
        <v>1790</v>
      </c>
      <c r="C180" s="35">
        <v>1.0649999999999999</v>
      </c>
      <c r="D180" s="36">
        <v>357.83909999999997</v>
      </c>
      <c r="E180" s="37">
        <v>380.61336999999997</v>
      </c>
      <c r="F180" s="34">
        <v>0</v>
      </c>
      <c r="G180" s="48">
        <f t="shared" si="2"/>
        <v>0.99451833333333328</v>
      </c>
    </row>
    <row r="181" spans="1:7" x14ac:dyDescent="0.3">
      <c r="A181" s="33">
        <v>45990.627118055556</v>
      </c>
      <c r="B181" s="34">
        <v>1800</v>
      </c>
      <c r="C181" s="35">
        <v>1.0638000000000001</v>
      </c>
      <c r="D181" s="36">
        <v>357.48910000000001</v>
      </c>
      <c r="E181" s="37">
        <v>379.98840000000001</v>
      </c>
      <c r="F181" s="34">
        <v>0</v>
      </c>
      <c r="G181" s="48">
        <f t="shared" si="2"/>
        <v>0.99351138888888879</v>
      </c>
    </row>
    <row r="182" spans="1:7" x14ac:dyDescent="0.3">
      <c r="A182" s="33">
        <v>45990.627233796295</v>
      </c>
      <c r="B182" s="34">
        <v>1810</v>
      </c>
      <c r="C182" s="35">
        <v>1.0625</v>
      </c>
      <c r="D182" s="36">
        <v>357.1891</v>
      </c>
      <c r="E182" s="37">
        <v>379.98840000000001</v>
      </c>
      <c r="F182" s="34">
        <v>0</v>
      </c>
      <c r="G182" s="48">
        <f t="shared" si="2"/>
        <v>0.99260861111111121</v>
      </c>
    </row>
    <row r="183" spans="1:7" x14ac:dyDescent="0.3">
      <c r="A183" s="33">
        <v>45990.627349537041</v>
      </c>
      <c r="B183" s="34">
        <v>1820</v>
      </c>
      <c r="C183" s="35">
        <v>1.0611999999999999</v>
      </c>
      <c r="D183" s="36">
        <v>356.88909999999998</v>
      </c>
      <c r="E183" s="37">
        <v>378.73842999999999</v>
      </c>
      <c r="F183" s="34">
        <v>0</v>
      </c>
      <c r="G183" s="48">
        <f t="shared" si="2"/>
        <v>0.99177527777777774</v>
      </c>
    </row>
    <row r="184" spans="1:7" x14ac:dyDescent="0.3">
      <c r="A184" s="33">
        <v>45990.627465277779</v>
      </c>
      <c r="B184" s="34">
        <v>1830</v>
      </c>
      <c r="C184" s="35">
        <v>1.0611999999999999</v>
      </c>
      <c r="D184" s="36">
        <v>356.58909999999997</v>
      </c>
      <c r="E184" s="37">
        <v>378.73842999999999</v>
      </c>
      <c r="F184" s="34">
        <v>0</v>
      </c>
      <c r="G184" s="48">
        <f t="shared" si="2"/>
        <v>0.9909419444444445</v>
      </c>
    </row>
    <row r="185" spans="1:7" x14ac:dyDescent="0.3">
      <c r="A185" s="33">
        <v>45990.627581018518</v>
      </c>
      <c r="B185" s="34">
        <v>1840</v>
      </c>
      <c r="C185" s="35">
        <v>1.06</v>
      </c>
      <c r="D185" s="36">
        <v>356.3141</v>
      </c>
      <c r="E185" s="37">
        <v>378.11345999999998</v>
      </c>
      <c r="F185" s="34">
        <v>0</v>
      </c>
      <c r="G185" s="48">
        <f t="shared" si="2"/>
        <v>0.99014333333333338</v>
      </c>
    </row>
    <row r="186" spans="1:7" x14ac:dyDescent="0.3">
      <c r="A186" s="33">
        <v>45990.627696759257</v>
      </c>
      <c r="B186" s="34">
        <v>1850</v>
      </c>
      <c r="C186" s="35">
        <v>1.0588</v>
      </c>
      <c r="D186" s="36">
        <v>356.0641</v>
      </c>
      <c r="E186" s="37">
        <v>376.86349000000001</v>
      </c>
      <c r="F186" s="34">
        <v>0</v>
      </c>
      <c r="G186" s="48">
        <f t="shared" si="2"/>
        <v>0.98941416666666671</v>
      </c>
    </row>
    <row r="187" spans="1:7" x14ac:dyDescent="0.3">
      <c r="A187" s="33">
        <v>45990.627812500003</v>
      </c>
      <c r="B187" s="34">
        <v>1860</v>
      </c>
      <c r="C187" s="35">
        <v>1.2862</v>
      </c>
      <c r="D187" s="36">
        <v>0</v>
      </c>
      <c r="E187" s="37">
        <v>0</v>
      </c>
      <c r="F187" s="34">
        <v>1</v>
      </c>
      <c r="G187" s="48">
        <f t="shared" si="2"/>
        <v>0.49453347222222221</v>
      </c>
    </row>
    <row r="188" spans="1:7" x14ac:dyDescent="0.3">
      <c r="A188" s="33">
        <v>45990.627928240741</v>
      </c>
      <c r="B188" s="34">
        <v>1870</v>
      </c>
      <c r="C188" s="35">
        <v>1.3</v>
      </c>
      <c r="D188" s="36">
        <v>0</v>
      </c>
      <c r="E188" s="37">
        <v>0</v>
      </c>
      <c r="F188" s="34">
        <v>1</v>
      </c>
      <c r="G188" s="48">
        <f t="shared" si="2"/>
        <v>0</v>
      </c>
    </row>
    <row r="189" spans="1:7" x14ac:dyDescent="0.3">
      <c r="A189" s="33">
        <v>45990.62804398148</v>
      </c>
      <c r="B189" s="34">
        <v>1880</v>
      </c>
      <c r="C189" s="35">
        <v>1.3087</v>
      </c>
      <c r="D189" s="36">
        <v>0</v>
      </c>
      <c r="E189" s="37">
        <v>0</v>
      </c>
      <c r="F189" s="34">
        <v>1</v>
      </c>
      <c r="G189" s="48">
        <f t="shared" si="2"/>
        <v>0</v>
      </c>
    </row>
    <row r="190" spans="1:7" x14ac:dyDescent="0.3">
      <c r="A190" s="33">
        <v>45990.628159722219</v>
      </c>
      <c r="B190" s="34">
        <v>1890</v>
      </c>
      <c r="C190" s="35">
        <v>1.3149999999999999</v>
      </c>
      <c r="D190" s="36">
        <v>0</v>
      </c>
      <c r="E190" s="37">
        <v>0</v>
      </c>
      <c r="F190" s="34">
        <v>1</v>
      </c>
      <c r="G190" s="48">
        <f t="shared" si="2"/>
        <v>0</v>
      </c>
    </row>
    <row r="191" spans="1:7" x14ac:dyDescent="0.3">
      <c r="A191" s="33">
        <v>45990.628275462965</v>
      </c>
      <c r="B191" s="34">
        <v>1900</v>
      </c>
      <c r="C191" s="35">
        <v>1.3188</v>
      </c>
      <c r="D191" s="36">
        <v>0</v>
      </c>
      <c r="E191" s="37">
        <v>0</v>
      </c>
      <c r="F191" s="34">
        <v>1</v>
      </c>
      <c r="G191" s="48">
        <f t="shared" si="2"/>
        <v>0</v>
      </c>
    </row>
    <row r="192" spans="1:7" x14ac:dyDescent="0.3">
      <c r="A192" s="33">
        <v>45990.628391203703</v>
      </c>
      <c r="B192" s="34">
        <v>1910</v>
      </c>
      <c r="C192" s="35">
        <v>1.3238000000000001</v>
      </c>
      <c r="D192" s="36">
        <v>0</v>
      </c>
      <c r="E192" s="37">
        <v>0</v>
      </c>
      <c r="F192" s="34">
        <v>1</v>
      </c>
      <c r="G192" s="48">
        <f t="shared" si="2"/>
        <v>0</v>
      </c>
    </row>
    <row r="193" spans="1:7" x14ac:dyDescent="0.3">
      <c r="A193" s="33">
        <v>45990.628506944442</v>
      </c>
      <c r="B193" s="34">
        <v>1920</v>
      </c>
      <c r="C193" s="35">
        <v>1.0925</v>
      </c>
      <c r="D193" s="36">
        <v>366.56380000000001</v>
      </c>
      <c r="E193" s="37">
        <v>400.61275999999998</v>
      </c>
      <c r="F193" s="34">
        <v>0</v>
      </c>
      <c r="G193" s="48">
        <f t="shared" si="2"/>
        <v>0.50911638888888888</v>
      </c>
    </row>
    <row r="194" spans="1:7" x14ac:dyDescent="0.3">
      <c r="A194" s="33">
        <v>45990.628622685188</v>
      </c>
      <c r="B194" s="34">
        <v>1930</v>
      </c>
      <c r="C194" s="35">
        <v>1.0788</v>
      </c>
      <c r="D194" s="36">
        <v>362.66390000000001</v>
      </c>
      <c r="E194" s="37">
        <v>391.23806999999999</v>
      </c>
      <c r="F194" s="34">
        <v>0</v>
      </c>
      <c r="G194" s="48">
        <f t="shared" si="2"/>
        <v>1.01281625</v>
      </c>
    </row>
    <row r="195" spans="1:7" x14ac:dyDescent="0.3">
      <c r="A195" s="33">
        <v>45990.628738425927</v>
      </c>
      <c r="B195" s="34">
        <v>1940</v>
      </c>
      <c r="C195" s="35">
        <v>1.0738000000000001</v>
      </c>
      <c r="D195" s="36">
        <v>360.66399999999999</v>
      </c>
      <c r="E195" s="37">
        <v>386.86318999999997</v>
      </c>
      <c r="F195" s="34">
        <v>0</v>
      </c>
      <c r="G195" s="48">
        <f t="shared" si="2"/>
        <v>1.0046220833333335</v>
      </c>
    </row>
    <row r="196" spans="1:7" x14ac:dyDescent="0.3">
      <c r="A196" s="33">
        <v>45990.628854166665</v>
      </c>
      <c r="B196" s="34">
        <v>1950</v>
      </c>
      <c r="C196" s="35">
        <v>1.07</v>
      </c>
      <c r="D196" s="36">
        <v>359.339</v>
      </c>
      <c r="E196" s="37">
        <v>383.73827999999997</v>
      </c>
      <c r="F196" s="34">
        <v>0</v>
      </c>
      <c r="G196" s="48">
        <f t="shared" si="2"/>
        <v>1.0000041666666666</v>
      </c>
    </row>
    <row r="197" spans="1:7" x14ac:dyDescent="0.3">
      <c r="A197" s="33">
        <v>45990.628969907404</v>
      </c>
      <c r="B197" s="34">
        <v>1960</v>
      </c>
      <c r="C197" s="35">
        <v>1.0662</v>
      </c>
      <c r="D197" s="36">
        <v>358.33909999999997</v>
      </c>
      <c r="E197" s="37">
        <v>381.86333999999999</v>
      </c>
      <c r="F197" s="34">
        <v>0</v>
      </c>
      <c r="G197" s="48">
        <f t="shared" si="2"/>
        <v>0.99677513888888891</v>
      </c>
    </row>
    <row r="198" spans="1:7" x14ac:dyDescent="0.3">
      <c r="A198" s="33">
        <v>45990.62908564815</v>
      </c>
      <c r="B198" s="34">
        <v>1970</v>
      </c>
      <c r="C198" s="35">
        <v>1.0638000000000001</v>
      </c>
      <c r="D198" s="36">
        <v>357.5641</v>
      </c>
      <c r="E198" s="37">
        <v>379.98840000000001</v>
      </c>
      <c r="F198" s="34">
        <v>0</v>
      </c>
      <c r="G198" s="48">
        <f t="shared" ref="G198:G261" si="3">($B$2/3600)*(D197+D198)/2</f>
        <v>0.99431000000000003</v>
      </c>
    </row>
    <row r="199" spans="1:7" x14ac:dyDescent="0.3">
      <c r="A199" s="33">
        <v>45990.629201388889</v>
      </c>
      <c r="B199" s="34">
        <v>1980</v>
      </c>
      <c r="C199" s="35">
        <v>1.0611999999999999</v>
      </c>
      <c r="D199" s="36">
        <v>356.88909999999998</v>
      </c>
      <c r="E199" s="37">
        <v>378.73842999999999</v>
      </c>
      <c r="F199" s="34">
        <v>0</v>
      </c>
      <c r="G199" s="48">
        <f t="shared" si="3"/>
        <v>0.99229611111111105</v>
      </c>
    </row>
    <row r="200" spans="1:7" x14ac:dyDescent="0.3">
      <c r="A200" s="33">
        <v>45990.629317129627</v>
      </c>
      <c r="B200" s="34">
        <v>1990</v>
      </c>
      <c r="C200" s="35">
        <v>1.06</v>
      </c>
      <c r="D200" s="36">
        <v>356.33909999999997</v>
      </c>
      <c r="E200" s="37">
        <v>378.11345999999998</v>
      </c>
      <c r="F200" s="34">
        <v>0</v>
      </c>
      <c r="G200" s="48">
        <f t="shared" si="3"/>
        <v>0.99059472222222233</v>
      </c>
    </row>
    <row r="201" spans="1:7" x14ac:dyDescent="0.3">
      <c r="A201" s="33">
        <v>45990.629432870373</v>
      </c>
      <c r="B201" s="34">
        <v>2000</v>
      </c>
      <c r="C201" s="35">
        <v>1.0588</v>
      </c>
      <c r="D201" s="36">
        <v>355.83909999999997</v>
      </c>
      <c r="E201" s="37">
        <v>376.86349000000001</v>
      </c>
      <c r="F201" s="34">
        <v>0</v>
      </c>
      <c r="G201" s="48">
        <f t="shared" si="3"/>
        <v>0.98913638888888888</v>
      </c>
    </row>
    <row r="202" spans="1:7" x14ac:dyDescent="0.3">
      <c r="A202" s="33">
        <v>45990.629548611112</v>
      </c>
      <c r="B202" s="34">
        <v>2010</v>
      </c>
      <c r="C202" s="35">
        <v>1.0575000000000001</v>
      </c>
      <c r="D202" s="36">
        <v>355.41419999999999</v>
      </c>
      <c r="E202" s="37">
        <v>375.61353000000003</v>
      </c>
      <c r="F202" s="34">
        <v>0</v>
      </c>
      <c r="G202" s="48">
        <f t="shared" si="3"/>
        <v>0.98785180555555552</v>
      </c>
    </row>
    <row r="203" spans="1:7" x14ac:dyDescent="0.3">
      <c r="A203" s="33">
        <v>45990.629664351851</v>
      </c>
      <c r="B203" s="34">
        <v>2020</v>
      </c>
      <c r="C203" s="35">
        <v>1.0562</v>
      </c>
      <c r="D203" s="36">
        <v>355.03919999999999</v>
      </c>
      <c r="E203" s="37">
        <v>374.98856000000001</v>
      </c>
      <c r="F203" s="34">
        <v>0</v>
      </c>
      <c r="G203" s="48">
        <f t="shared" si="3"/>
        <v>0.9867408333333334</v>
      </c>
    </row>
    <row r="204" spans="1:7" x14ac:dyDescent="0.3">
      <c r="A204" s="33">
        <v>45990.629780092589</v>
      </c>
      <c r="B204" s="34">
        <v>2030</v>
      </c>
      <c r="C204" s="35">
        <v>1.0549999999999999</v>
      </c>
      <c r="D204" s="36">
        <v>354.66419999999999</v>
      </c>
      <c r="E204" s="37">
        <v>373.73858999999999</v>
      </c>
      <c r="F204" s="34">
        <v>0</v>
      </c>
      <c r="G204" s="48">
        <f t="shared" si="3"/>
        <v>0.98569916666666668</v>
      </c>
    </row>
    <row r="205" spans="1:7" x14ac:dyDescent="0.3">
      <c r="A205" s="33">
        <v>45990.629895833335</v>
      </c>
      <c r="B205" s="34">
        <v>2040</v>
      </c>
      <c r="C205" s="35">
        <v>1.0549999999999999</v>
      </c>
      <c r="D205" s="36">
        <v>354.33920000000001</v>
      </c>
      <c r="E205" s="37">
        <v>373.73858999999999</v>
      </c>
      <c r="F205" s="34">
        <v>0</v>
      </c>
      <c r="G205" s="48">
        <f t="shared" si="3"/>
        <v>0.98472694444444453</v>
      </c>
    </row>
    <row r="206" spans="1:7" x14ac:dyDescent="0.3">
      <c r="A206" s="33">
        <v>45990.630011574074</v>
      </c>
      <c r="B206" s="34">
        <v>2050</v>
      </c>
      <c r="C206" s="35">
        <v>1.0537000000000001</v>
      </c>
      <c r="D206" s="36">
        <v>354.01420000000002</v>
      </c>
      <c r="E206" s="37">
        <v>372.48865000000001</v>
      </c>
      <c r="F206" s="34">
        <v>0</v>
      </c>
      <c r="G206" s="48">
        <f t="shared" si="3"/>
        <v>0.98382416666666661</v>
      </c>
    </row>
    <row r="207" spans="1:7" x14ac:dyDescent="0.3">
      <c r="A207" s="33">
        <v>45990.630127314813</v>
      </c>
      <c r="B207" s="34">
        <v>2060</v>
      </c>
      <c r="C207" s="35">
        <v>1.0525</v>
      </c>
      <c r="D207" s="36">
        <v>353.71420000000001</v>
      </c>
      <c r="E207" s="37">
        <v>372.48865000000001</v>
      </c>
      <c r="F207" s="34">
        <v>0</v>
      </c>
      <c r="G207" s="48">
        <f t="shared" si="3"/>
        <v>0.98295611111111114</v>
      </c>
    </row>
    <row r="208" spans="1:7" x14ac:dyDescent="0.3">
      <c r="A208" s="33">
        <v>45990.630243055559</v>
      </c>
      <c r="B208" s="34">
        <v>2070</v>
      </c>
      <c r="C208" s="35">
        <v>1.0511999999999999</v>
      </c>
      <c r="D208" s="36">
        <v>353.41419999999999</v>
      </c>
      <c r="E208" s="37">
        <v>371.86365000000001</v>
      </c>
      <c r="F208" s="34">
        <v>0</v>
      </c>
      <c r="G208" s="48">
        <f t="shared" si="3"/>
        <v>0.9821227777777779</v>
      </c>
    </row>
    <row r="209" spans="1:7" x14ac:dyDescent="0.3">
      <c r="A209" s="33">
        <v>45990.630358796298</v>
      </c>
      <c r="B209" s="34">
        <v>2080</v>
      </c>
      <c r="C209" s="35">
        <v>1.05</v>
      </c>
      <c r="D209" s="36">
        <v>353.16419999999999</v>
      </c>
      <c r="E209" s="37">
        <v>370.61367999999999</v>
      </c>
      <c r="F209" s="34">
        <v>0</v>
      </c>
      <c r="G209" s="48">
        <f t="shared" si="3"/>
        <v>0.98135888888888889</v>
      </c>
    </row>
    <row r="210" spans="1:7" x14ac:dyDescent="0.3">
      <c r="A210" s="33">
        <v>45990.630474537036</v>
      </c>
      <c r="B210" s="34">
        <v>2090</v>
      </c>
      <c r="C210" s="35">
        <v>1.05</v>
      </c>
      <c r="D210" s="36">
        <v>352.88920000000002</v>
      </c>
      <c r="E210" s="37">
        <v>369.98871000000003</v>
      </c>
      <c r="F210" s="34">
        <v>0</v>
      </c>
      <c r="G210" s="48">
        <f t="shared" si="3"/>
        <v>0.98062972222222222</v>
      </c>
    </row>
    <row r="211" spans="1:7" x14ac:dyDescent="0.3">
      <c r="A211" s="33">
        <v>45990.630590277775</v>
      </c>
      <c r="B211" s="34">
        <v>2100</v>
      </c>
      <c r="C211" s="35">
        <v>1.2786999999999999</v>
      </c>
      <c r="D211" s="36">
        <v>0</v>
      </c>
      <c r="E211" s="37">
        <v>0</v>
      </c>
      <c r="F211" s="34">
        <v>1</v>
      </c>
      <c r="G211" s="48">
        <f t="shared" si="3"/>
        <v>0.49012388888888891</v>
      </c>
    </row>
    <row r="212" spans="1:7" x14ac:dyDescent="0.3">
      <c r="A212" s="33">
        <v>45990.630706018521</v>
      </c>
      <c r="B212" s="34">
        <v>2110</v>
      </c>
      <c r="C212" s="35">
        <v>1.2911999999999999</v>
      </c>
      <c r="D212" s="36">
        <v>0</v>
      </c>
      <c r="E212" s="37">
        <v>0</v>
      </c>
      <c r="F212" s="34">
        <v>1</v>
      </c>
      <c r="G212" s="48">
        <f t="shared" si="3"/>
        <v>0</v>
      </c>
    </row>
    <row r="213" spans="1:7" x14ac:dyDescent="0.3">
      <c r="A213" s="33">
        <v>45990.63082175926</v>
      </c>
      <c r="B213" s="34">
        <v>2120</v>
      </c>
      <c r="C213" s="35">
        <v>1.3</v>
      </c>
      <c r="D213" s="36">
        <v>0</v>
      </c>
      <c r="E213" s="37">
        <v>0</v>
      </c>
      <c r="F213" s="34">
        <v>1</v>
      </c>
      <c r="G213" s="48">
        <f t="shared" si="3"/>
        <v>0</v>
      </c>
    </row>
    <row r="214" spans="1:7" x14ac:dyDescent="0.3">
      <c r="A214" s="33">
        <v>45990.630937499998</v>
      </c>
      <c r="B214" s="34">
        <v>2130</v>
      </c>
      <c r="C214" s="35">
        <v>1.3062</v>
      </c>
      <c r="D214" s="36">
        <v>0</v>
      </c>
      <c r="E214" s="37">
        <v>0</v>
      </c>
      <c r="F214" s="34">
        <v>1</v>
      </c>
      <c r="G214" s="48">
        <f t="shared" si="3"/>
        <v>0</v>
      </c>
    </row>
    <row r="215" spans="1:7" x14ac:dyDescent="0.3">
      <c r="A215" s="33">
        <v>45990.631053240744</v>
      </c>
      <c r="B215" s="34">
        <v>2140</v>
      </c>
      <c r="C215" s="35">
        <v>1.3111999999999999</v>
      </c>
      <c r="D215" s="36">
        <v>2.5000000000000001E-2</v>
      </c>
      <c r="E215" s="37">
        <v>0</v>
      </c>
      <c r="F215" s="34">
        <v>1</v>
      </c>
      <c r="G215" s="48">
        <f t="shared" si="3"/>
        <v>3.4722222222222222E-5</v>
      </c>
    </row>
    <row r="216" spans="1:7" x14ac:dyDescent="0.3">
      <c r="A216" s="33">
        <v>45990.631168981483</v>
      </c>
      <c r="B216" s="34">
        <v>2150</v>
      </c>
      <c r="C216" s="35">
        <v>1.3149999999999999</v>
      </c>
      <c r="D216" s="36">
        <v>0</v>
      </c>
      <c r="E216" s="37">
        <v>0</v>
      </c>
      <c r="F216" s="34">
        <v>1</v>
      </c>
      <c r="G216" s="48">
        <f t="shared" si="3"/>
        <v>3.4722222222222222E-5</v>
      </c>
    </row>
    <row r="217" spans="1:7" x14ac:dyDescent="0.3">
      <c r="A217" s="33">
        <v>45990.631284722222</v>
      </c>
      <c r="B217" s="34">
        <v>2160</v>
      </c>
      <c r="C217" s="35">
        <v>1.0825</v>
      </c>
      <c r="D217" s="36">
        <v>363.28890000000001</v>
      </c>
      <c r="E217" s="37">
        <v>393.11300999999997</v>
      </c>
      <c r="F217" s="34">
        <v>0</v>
      </c>
      <c r="G217" s="48">
        <f t="shared" si="3"/>
        <v>0.50456791666666667</v>
      </c>
    </row>
    <row r="218" spans="1:7" x14ac:dyDescent="0.3">
      <c r="A218" s="33">
        <v>45990.63140046296</v>
      </c>
      <c r="B218" s="34">
        <v>2170</v>
      </c>
      <c r="C218" s="35">
        <v>1.07</v>
      </c>
      <c r="D218" s="36">
        <v>359.36399999999998</v>
      </c>
      <c r="E218" s="37">
        <v>383.73827999999997</v>
      </c>
      <c r="F218" s="34">
        <v>0</v>
      </c>
      <c r="G218" s="48">
        <f t="shared" si="3"/>
        <v>1.0036845833333334</v>
      </c>
    </row>
    <row r="219" spans="1:7" x14ac:dyDescent="0.3">
      <c r="A219" s="33">
        <v>45990.631516203706</v>
      </c>
      <c r="B219" s="34">
        <v>2180</v>
      </c>
      <c r="C219" s="35">
        <v>1.0638000000000001</v>
      </c>
      <c r="D219" s="36">
        <v>357.41410000000002</v>
      </c>
      <c r="E219" s="37">
        <v>379.98840000000001</v>
      </c>
      <c r="F219" s="34">
        <v>0</v>
      </c>
      <c r="G219" s="48">
        <f t="shared" si="3"/>
        <v>0.99552513888888894</v>
      </c>
    </row>
    <row r="220" spans="1:7" x14ac:dyDescent="0.3">
      <c r="A220" s="33">
        <v>45990.631631944445</v>
      </c>
      <c r="B220" s="34">
        <v>2190</v>
      </c>
      <c r="C220" s="35">
        <v>1.0588</v>
      </c>
      <c r="D220" s="36">
        <v>356.11410000000001</v>
      </c>
      <c r="E220" s="37">
        <v>377.48845999999998</v>
      </c>
      <c r="F220" s="34">
        <v>0</v>
      </c>
      <c r="G220" s="48">
        <f t="shared" si="3"/>
        <v>0.99101138888888884</v>
      </c>
    </row>
    <row r="221" spans="1:7" x14ac:dyDescent="0.3">
      <c r="A221" s="33">
        <v>45990.631747685184</v>
      </c>
      <c r="B221" s="34">
        <v>2200</v>
      </c>
      <c r="C221" s="35">
        <v>1.0575000000000001</v>
      </c>
      <c r="D221" s="36">
        <v>355.13920000000002</v>
      </c>
      <c r="E221" s="37">
        <v>375.61353000000003</v>
      </c>
      <c r="F221" s="34">
        <v>0</v>
      </c>
      <c r="G221" s="48">
        <f t="shared" si="3"/>
        <v>0.98785180555555574</v>
      </c>
    </row>
    <row r="222" spans="1:7" x14ac:dyDescent="0.3">
      <c r="A222" s="33">
        <v>45990.631863425922</v>
      </c>
      <c r="B222" s="34">
        <v>2210</v>
      </c>
      <c r="C222" s="35">
        <v>1.0537000000000001</v>
      </c>
      <c r="D222" s="36">
        <v>354.38920000000002</v>
      </c>
      <c r="E222" s="37">
        <v>373.73858999999999</v>
      </c>
      <c r="F222" s="34">
        <v>0</v>
      </c>
      <c r="G222" s="48">
        <f t="shared" si="3"/>
        <v>0.9854561111111112</v>
      </c>
    </row>
    <row r="223" spans="1:7" x14ac:dyDescent="0.3">
      <c r="A223" s="33">
        <v>45990.631979166668</v>
      </c>
      <c r="B223" s="34">
        <v>2220</v>
      </c>
      <c r="C223" s="35">
        <v>1.0525</v>
      </c>
      <c r="D223" s="36">
        <v>353.76420000000002</v>
      </c>
      <c r="E223" s="37">
        <v>372.48865000000001</v>
      </c>
      <c r="F223" s="34">
        <v>0</v>
      </c>
      <c r="G223" s="48">
        <f t="shared" si="3"/>
        <v>0.98354638888888901</v>
      </c>
    </row>
    <row r="224" spans="1:7" x14ac:dyDescent="0.3">
      <c r="A224" s="33">
        <v>45990.632094907407</v>
      </c>
      <c r="B224" s="34">
        <v>2230</v>
      </c>
      <c r="C224" s="35">
        <v>1.0511999999999999</v>
      </c>
      <c r="D224" s="36">
        <v>353.23919999999998</v>
      </c>
      <c r="E224" s="37">
        <v>371.86365000000001</v>
      </c>
      <c r="F224" s="34">
        <v>0</v>
      </c>
      <c r="G224" s="48">
        <f t="shared" si="3"/>
        <v>0.98194916666666676</v>
      </c>
    </row>
    <row r="225" spans="1:7" x14ac:dyDescent="0.3">
      <c r="A225" s="33">
        <v>45990.632210648146</v>
      </c>
      <c r="B225" s="34">
        <v>2240</v>
      </c>
      <c r="C225" s="35">
        <v>1.05</v>
      </c>
      <c r="D225" s="36">
        <v>352.78919999999999</v>
      </c>
      <c r="E225" s="37">
        <v>370.61367999999999</v>
      </c>
      <c r="F225" s="34">
        <v>0</v>
      </c>
      <c r="G225" s="48">
        <f t="shared" si="3"/>
        <v>0.98059499999999988</v>
      </c>
    </row>
    <row r="226" spans="1:7" x14ac:dyDescent="0.3">
      <c r="A226" s="33">
        <v>45990.632326388892</v>
      </c>
      <c r="B226" s="34">
        <v>2250</v>
      </c>
      <c r="C226" s="35">
        <v>1.0487</v>
      </c>
      <c r="D226" s="36">
        <v>352.36419999999998</v>
      </c>
      <c r="E226" s="37">
        <v>369.36374000000001</v>
      </c>
      <c r="F226" s="34">
        <v>0</v>
      </c>
      <c r="G226" s="48">
        <f t="shared" si="3"/>
        <v>0.97937972222222214</v>
      </c>
    </row>
    <row r="227" spans="1:7" x14ac:dyDescent="0.3">
      <c r="A227" s="33">
        <v>45990.63244212963</v>
      </c>
      <c r="B227" s="34">
        <v>2260</v>
      </c>
      <c r="C227" s="35">
        <v>1.0462</v>
      </c>
      <c r="D227" s="36">
        <v>351.98930000000001</v>
      </c>
      <c r="E227" s="37">
        <v>368.73874000000001</v>
      </c>
      <c r="F227" s="34">
        <v>0</v>
      </c>
      <c r="G227" s="48">
        <f t="shared" si="3"/>
        <v>0.97826874999999991</v>
      </c>
    </row>
    <row r="228" spans="1:7" x14ac:dyDescent="0.3">
      <c r="A228" s="33">
        <v>45990.632557870369</v>
      </c>
      <c r="B228" s="34">
        <v>2270</v>
      </c>
      <c r="C228" s="35">
        <v>1.0462</v>
      </c>
      <c r="D228" s="36">
        <v>351.66419999999999</v>
      </c>
      <c r="E228" s="37">
        <v>367.48876999999999</v>
      </c>
      <c r="F228" s="34">
        <v>0</v>
      </c>
      <c r="G228" s="48">
        <f t="shared" si="3"/>
        <v>0.97729652777777787</v>
      </c>
    </row>
    <row r="229" spans="1:7" x14ac:dyDescent="0.3">
      <c r="A229" s="33">
        <v>45990.632673611108</v>
      </c>
      <c r="B229" s="34">
        <v>2280</v>
      </c>
      <c r="C229" s="35">
        <v>1.0449999999999999</v>
      </c>
      <c r="D229" s="36">
        <v>351.3143</v>
      </c>
      <c r="E229" s="37">
        <v>366.86380000000003</v>
      </c>
      <c r="F229" s="34">
        <v>0</v>
      </c>
      <c r="G229" s="48">
        <f t="shared" si="3"/>
        <v>0.97635902777777772</v>
      </c>
    </row>
    <row r="230" spans="1:7" x14ac:dyDescent="0.3">
      <c r="A230" s="33">
        <v>45990.632789351854</v>
      </c>
      <c r="B230" s="34">
        <v>2290</v>
      </c>
      <c r="C230" s="35">
        <v>1.0437000000000001</v>
      </c>
      <c r="D230" s="36">
        <v>351.01429999999999</v>
      </c>
      <c r="E230" s="37">
        <v>366.86380000000003</v>
      </c>
      <c r="F230" s="34">
        <v>0</v>
      </c>
      <c r="G230" s="48">
        <f t="shared" si="3"/>
        <v>0.97545638888888897</v>
      </c>
    </row>
    <row r="231" spans="1:7" x14ac:dyDescent="0.3">
      <c r="A231" s="33">
        <v>45990.632905092592</v>
      </c>
      <c r="B231" s="34">
        <v>2300</v>
      </c>
      <c r="C231" s="35">
        <v>1.0425</v>
      </c>
      <c r="D231" s="36">
        <v>350.73930000000001</v>
      </c>
      <c r="E231" s="37">
        <v>365.61383000000001</v>
      </c>
      <c r="F231" s="34">
        <v>0</v>
      </c>
      <c r="G231" s="48">
        <f t="shared" si="3"/>
        <v>0.97465777777777785</v>
      </c>
    </row>
    <row r="232" spans="1:7" x14ac:dyDescent="0.3">
      <c r="A232" s="33">
        <v>45990.633020833331</v>
      </c>
      <c r="B232" s="34">
        <v>2310</v>
      </c>
      <c r="C232" s="35">
        <v>1.0425</v>
      </c>
      <c r="D232" s="36">
        <v>350.46429999999998</v>
      </c>
      <c r="E232" s="37">
        <v>365.61383000000001</v>
      </c>
      <c r="F232" s="34">
        <v>0</v>
      </c>
      <c r="G232" s="48">
        <f t="shared" si="3"/>
        <v>0.97389388888888895</v>
      </c>
    </row>
    <row r="233" spans="1:7" x14ac:dyDescent="0.3">
      <c r="A233" s="33">
        <v>45990.633136574077</v>
      </c>
      <c r="B233" s="34">
        <v>2320</v>
      </c>
      <c r="C233" s="35">
        <v>1.0411999999999999</v>
      </c>
      <c r="D233" s="36">
        <v>350.21429999999998</v>
      </c>
      <c r="E233" s="37">
        <v>364.36389000000003</v>
      </c>
      <c r="F233" s="34">
        <v>0</v>
      </c>
      <c r="G233" s="48">
        <f t="shared" si="3"/>
        <v>0.97316472222222217</v>
      </c>
    </row>
    <row r="234" spans="1:7" x14ac:dyDescent="0.3">
      <c r="A234" s="33">
        <v>45990.633252314816</v>
      </c>
      <c r="B234" s="34">
        <v>2330</v>
      </c>
      <c r="C234" s="35">
        <v>1.0411999999999999</v>
      </c>
      <c r="D234" s="36">
        <v>349.96429999999998</v>
      </c>
      <c r="E234" s="37">
        <v>364.36389000000003</v>
      </c>
      <c r="F234" s="34">
        <v>0</v>
      </c>
      <c r="G234" s="48">
        <f t="shared" si="3"/>
        <v>0.97247027777777773</v>
      </c>
    </row>
    <row r="235" spans="1:7" x14ac:dyDescent="0.3">
      <c r="A235" s="33">
        <v>45990.633368055554</v>
      </c>
      <c r="B235" s="34">
        <v>2340</v>
      </c>
      <c r="C235" s="35">
        <v>1.2725</v>
      </c>
      <c r="D235" s="36">
        <v>0</v>
      </c>
      <c r="E235" s="37">
        <v>0</v>
      </c>
      <c r="F235" s="34">
        <v>1</v>
      </c>
      <c r="G235" s="48">
        <f t="shared" si="3"/>
        <v>0.48606152777777778</v>
      </c>
    </row>
    <row r="236" spans="1:7" x14ac:dyDescent="0.3">
      <c r="A236" s="33">
        <v>45990.633483796293</v>
      </c>
      <c r="B236" s="34">
        <v>2350</v>
      </c>
      <c r="C236" s="35">
        <v>1.2837000000000001</v>
      </c>
      <c r="D236" s="36">
        <v>0</v>
      </c>
      <c r="E236" s="37">
        <v>0</v>
      </c>
      <c r="F236" s="34">
        <v>1</v>
      </c>
      <c r="G236" s="48">
        <f t="shared" si="3"/>
        <v>0</v>
      </c>
    </row>
    <row r="237" spans="1:7" x14ac:dyDescent="0.3">
      <c r="A237" s="33">
        <v>45990.633599537039</v>
      </c>
      <c r="B237" s="34">
        <v>2360</v>
      </c>
      <c r="C237" s="35">
        <v>1.2925</v>
      </c>
      <c r="D237" s="36">
        <v>0</v>
      </c>
      <c r="E237" s="37">
        <v>0</v>
      </c>
      <c r="F237" s="34">
        <v>1</v>
      </c>
      <c r="G237" s="48">
        <f t="shared" si="3"/>
        <v>0</v>
      </c>
    </row>
    <row r="238" spans="1:7" x14ac:dyDescent="0.3">
      <c r="A238" s="33">
        <v>45990.633715277778</v>
      </c>
      <c r="B238" s="34">
        <v>2370</v>
      </c>
      <c r="C238" s="35">
        <v>1.2987</v>
      </c>
      <c r="D238" s="36">
        <v>0</v>
      </c>
      <c r="E238" s="37">
        <v>0</v>
      </c>
      <c r="F238" s="34">
        <v>1</v>
      </c>
      <c r="G238" s="48">
        <f t="shared" si="3"/>
        <v>0</v>
      </c>
    </row>
    <row r="239" spans="1:7" x14ac:dyDescent="0.3">
      <c r="A239" s="33">
        <v>45990.633831018517</v>
      </c>
      <c r="B239" s="34">
        <v>2380</v>
      </c>
      <c r="C239" s="35">
        <v>1.3025</v>
      </c>
      <c r="D239" s="36">
        <v>0</v>
      </c>
      <c r="E239" s="37">
        <v>0</v>
      </c>
      <c r="F239" s="34">
        <v>1</v>
      </c>
      <c r="G239" s="48">
        <f t="shared" si="3"/>
        <v>0</v>
      </c>
    </row>
    <row r="240" spans="1:7" x14ac:dyDescent="0.3">
      <c r="A240" s="33">
        <v>45990.633946759262</v>
      </c>
      <c r="B240" s="34">
        <v>2390</v>
      </c>
      <c r="C240" s="35">
        <v>1.3075000000000001</v>
      </c>
      <c r="D240" s="36">
        <v>0</v>
      </c>
      <c r="E240" s="37">
        <v>0</v>
      </c>
      <c r="F240" s="34">
        <v>1</v>
      </c>
      <c r="G240" s="48">
        <f t="shared" si="3"/>
        <v>0</v>
      </c>
    </row>
    <row r="241" spans="1:7" x14ac:dyDescent="0.3">
      <c r="A241" s="33">
        <v>45990.634062500001</v>
      </c>
      <c r="B241" s="34">
        <v>2400</v>
      </c>
      <c r="C241" s="35">
        <v>1.0725</v>
      </c>
      <c r="D241" s="36">
        <v>360.18900000000002</v>
      </c>
      <c r="E241" s="37">
        <v>386.23822000000001</v>
      </c>
      <c r="F241" s="34">
        <v>0</v>
      </c>
      <c r="G241" s="48">
        <f t="shared" si="3"/>
        <v>0.50026250000000005</v>
      </c>
    </row>
    <row r="242" spans="1:7" x14ac:dyDescent="0.3">
      <c r="A242" s="33">
        <v>45990.63417824074</v>
      </c>
      <c r="B242" s="34">
        <v>2410</v>
      </c>
      <c r="C242" s="35">
        <v>1.06</v>
      </c>
      <c r="D242" s="36">
        <v>356.36410000000001</v>
      </c>
      <c r="E242" s="37">
        <v>378.11345999999998</v>
      </c>
      <c r="F242" s="34">
        <v>0</v>
      </c>
      <c r="G242" s="48">
        <f t="shared" si="3"/>
        <v>0.995212638888889</v>
      </c>
    </row>
    <row r="243" spans="1:7" x14ac:dyDescent="0.3">
      <c r="A243" s="33">
        <v>45990.634305555555</v>
      </c>
      <c r="B243" s="34">
        <v>2420</v>
      </c>
      <c r="C243" s="35">
        <v>1.0549999999999999</v>
      </c>
      <c r="D243" s="36">
        <v>354.48919999999998</v>
      </c>
      <c r="E243" s="37">
        <v>373.73858999999999</v>
      </c>
      <c r="F243" s="34">
        <v>0</v>
      </c>
      <c r="G243" s="48">
        <f t="shared" si="3"/>
        <v>0.98729624999999999</v>
      </c>
    </row>
    <row r="244" spans="1:7" x14ac:dyDescent="0.3">
      <c r="A244" s="33">
        <v>45990.634421296294</v>
      </c>
      <c r="B244" s="34">
        <v>2430</v>
      </c>
      <c r="C244" s="35">
        <v>1.0511999999999999</v>
      </c>
      <c r="D244" s="36">
        <v>353.21420000000001</v>
      </c>
      <c r="E244" s="37">
        <v>371.86365000000001</v>
      </c>
      <c r="F244" s="34">
        <v>0</v>
      </c>
      <c r="G244" s="48">
        <f t="shared" si="3"/>
        <v>0.98292138888888891</v>
      </c>
    </row>
    <row r="245" spans="1:7" x14ac:dyDescent="0.3">
      <c r="A245" s="33">
        <v>45990.63453703704</v>
      </c>
      <c r="B245" s="34">
        <v>2440</v>
      </c>
      <c r="C245" s="35">
        <v>1.0487</v>
      </c>
      <c r="D245" s="36">
        <v>352.26429999999999</v>
      </c>
      <c r="E245" s="37">
        <v>369.36374000000001</v>
      </c>
      <c r="F245" s="34">
        <v>0</v>
      </c>
      <c r="G245" s="48">
        <f t="shared" si="3"/>
        <v>0.97983124999999993</v>
      </c>
    </row>
    <row r="246" spans="1:7" x14ac:dyDescent="0.3">
      <c r="A246" s="33">
        <v>45990.634652777779</v>
      </c>
      <c r="B246" s="34">
        <v>2450</v>
      </c>
      <c r="C246" s="35">
        <v>1.0449999999999999</v>
      </c>
      <c r="D246" s="36">
        <v>351.51429999999999</v>
      </c>
      <c r="E246" s="37">
        <v>367.48876999999999</v>
      </c>
      <c r="F246" s="34">
        <v>0</v>
      </c>
      <c r="G246" s="48">
        <f t="shared" si="3"/>
        <v>0.97747027777777784</v>
      </c>
    </row>
    <row r="247" spans="1:7" x14ac:dyDescent="0.3">
      <c r="A247" s="33">
        <v>45990.634768518517</v>
      </c>
      <c r="B247" s="34">
        <v>2460</v>
      </c>
      <c r="C247" s="35">
        <v>1.0437000000000001</v>
      </c>
      <c r="D247" s="36">
        <v>350.88929999999999</v>
      </c>
      <c r="E247" s="37">
        <v>366.86380000000003</v>
      </c>
      <c r="F247" s="34">
        <v>0</v>
      </c>
      <c r="G247" s="48">
        <f t="shared" si="3"/>
        <v>0.97556055555555554</v>
      </c>
    </row>
    <row r="248" spans="1:7" x14ac:dyDescent="0.3">
      <c r="A248" s="33">
        <v>45990.634884259256</v>
      </c>
      <c r="B248" s="34">
        <v>2470</v>
      </c>
      <c r="C248" s="35">
        <v>1.0411999999999999</v>
      </c>
      <c r="D248" s="36">
        <v>350.36430000000001</v>
      </c>
      <c r="E248" s="37">
        <v>364.98885999999999</v>
      </c>
      <c r="F248" s="34">
        <v>0</v>
      </c>
      <c r="G248" s="48">
        <f t="shared" si="3"/>
        <v>0.9739633333333334</v>
      </c>
    </row>
    <row r="249" spans="1:7" x14ac:dyDescent="0.3">
      <c r="A249" s="33">
        <v>45990.635000000002</v>
      </c>
      <c r="B249" s="34">
        <v>2480</v>
      </c>
      <c r="C249" s="35">
        <v>1.04</v>
      </c>
      <c r="D249" s="36">
        <v>349.91430000000003</v>
      </c>
      <c r="E249" s="37">
        <v>363.73889000000003</v>
      </c>
      <c r="F249" s="34">
        <v>0</v>
      </c>
      <c r="G249" s="48">
        <f t="shared" si="3"/>
        <v>0.97260916666666686</v>
      </c>
    </row>
    <row r="250" spans="1:7" x14ac:dyDescent="0.3">
      <c r="A250" s="33">
        <v>45990.635115740741</v>
      </c>
      <c r="B250" s="34">
        <v>2490</v>
      </c>
      <c r="C250" s="35">
        <v>1.04</v>
      </c>
      <c r="D250" s="36">
        <v>349.48930000000001</v>
      </c>
      <c r="E250" s="37">
        <v>363.73889000000003</v>
      </c>
      <c r="F250" s="34">
        <v>0</v>
      </c>
      <c r="G250" s="48">
        <f t="shared" si="3"/>
        <v>0.97139388888888911</v>
      </c>
    </row>
    <row r="251" spans="1:7" x14ac:dyDescent="0.3">
      <c r="A251" s="33">
        <v>45990.635231481479</v>
      </c>
      <c r="B251" s="34">
        <v>2500</v>
      </c>
      <c r="C251" s="35">
        <v>1.0387</v>
      </c>
      <c r="D251" s="36">
        <v>349.11430000000001</v>
      </c>
      <c r="E251" s="37">
        <v>363.11392000000001</v>
      </c>
      <c r="F251" s="34">
        <v>0</v>
      </c>
      <c r="G251" s="48">
        <f t="shared" si="3"/>
        <v>0.97028277777777783</v>
      </c>
    </row>
    <row r="252" spans="1:7" x14ac:dyDescent="0.3">
      <c r="A252" s="33">
        <v>45990.635347222225</v>
      </c>
      <c r="B252" s="34">
        <v>2510</v>
      </c>
      <c r="C252" s="35">
        <v>1.0375000000000001</v>
      </c>
      <c r="D252" s="36">
        <v>348.78930000000003</v>
      </c>
      <c r="E252" s="37">
        <v>361.86394999999999</v>
      </c>
      <c r="F252" s="34">
        <v>0</v>
      </c>
      <c r="G252" s="48">
        <f t="shared" si="3"/>
        <v>0.96931055555555568</v>
      </c>
    </row>
    <row r="253" spans="1:7" x14ac:dyDescent="0.3">
      <c r="A253" s="33">
        <v>45990.635462962964</v>
      </c>
      <c r="B253" s="34">
        <v>2520</v>
      </c>
      <c r="C253" s="35">
        <v>1.0375000000000001</v>
      </c>
      <c r="D253" s="36">
        <v>348.48930000000001</v>
      </c>
      <c r="E253" s="37">
        <v>361.23898000000003</v>
      </c>
      <c r="F253" s="34">
        <v>0</v>
      </c>
      <c r="G253" s="48">
        <f t="shared" si="3"/>
        <v>0.96844250000000021</v>
      </c>
    </row>
    <row r="254" spans="1:7" x14ac:dyDescent="0.3">
      <c r="A254" s="33">
        <v>45990.635578703703</v>
      </c>
      <c r="B254" s="34">
        <v>2530</v>
      </c>
      <c r="C254" s="35">
        <v>1.0362</v>
      </c>
      <c r="D254" s="36">
        <v>348.18939999999998</v>
      </c>
      <c r="E254" s="37">
        <v>360.61398000000003</v>
      </c>
      <c r="F254" s="34">
        <v>0</v>
      </c>
      <c r="G254" s="48">
        <f t="shared" si="3"/>
        <v>0.96760930555555547</v>
      </c>
    </row>
    <row r="255" spans="1:7" x14ac:dyDescent="0.3">
      <c r="A255" s="33">
        <v>45990.635694444441</v>
      </c>
      <c r="B255" s="34">
        <v>2540</v>
      </c>
      <c r="C255" s="35">
        <v>1.0349999999999999</v>
      </c>
      <c r="D255" s="36">
        <v>347.88940000000002</v>
      </c>
      <c r="E255" s="37">
        <v>360.61398000000003</v>
      </c>
      <c r="F255" s="34">
        <v>0</v>
      </c>
      <c r="G255" s="48">
        <f t="shared" si="3"/>
        <v>0.96677611111111117</v>
      </c>
    </row>
    <row r="256" spans="1:7" x14ac:dyDescent="0.3">
      <c r="A256" s="33">
        <v>45990.635810185187</v>
      </c>
      <c r="B256" s="34">
        <v>2550</v>
      </c>
      <c r="C256" s="35">
        <v>1.0337000000000001</v>
      </c>
      <c r="D256" s="36">
        <v>347.63940000000002</v>
      </c>
      <c r="E256" s="37">
        <v>359.36403999999999</v>
      </c>
      <c r="F256" s="34">
        <v>0</v>
      </c>
      <c r="G256" s="48">
        <f t="shared" si="3"/>
        <v>0.96601222222222227</v>
      </c>
    </row>
    <row r="257" spans="1:7" x14ac:dyDescent="0.3">
      <c r="A257" s="33">
        <v>45990.635925925926</v>
      </c>
      <c r="B257" s="34">
        <v>2560</v>
      </c>
      <c r="C257" s="35">
        <v>1.0337000000000001</v>
      </c>
      <c r="D257" s="36">
        <v>347.38940000000002</v>
      </c>
      <c r="E257" s="37">
        <v>359.36403999999999</v>
      </c>
      <c r="F257" s="34">
        <v>0</v>
      </c>
      <c r="G257" s="48">
        <f t="shared" si="3"/>
        <v>0.96531777777777783</v>
      </c>
    </row>
    <row r="258" spans="1:7" x14ac:dyDescent="0.3">
      <c r="A258" s="33">
        <v>45990.636041666665</v>
      </c>
      <c r="B258" s="34">
        <v>2570</v>
      </c>
      <c r="C258" s="35">
        <v>1.0325</v>
      </c>
      <c r="D258" s="36">
        <v>347.13940000000002</v>
      </c>
      <c r="E258" s="37">
        <v>358.11407000000003</v>
      </c>
      <c r="F258" s="34">
        <v>0</v>
      </c>
      <c r="G258" s="48">
        <f t="shared" si="3"/>
        <v>0.96462333333333339</v>
      </c>
    </row>
    <row r="259" spans="1:7" x14ac:dyDescent="0.3">
      <c r="A259" s="33">
        <v>45990.636157407411</v>
      </c>
      <c r="B259" s="34">
        <v>2580</v>
      </c>
      <c r="C259" s="35">
        <v>1.2663</v>
      </c>
      <c r="D259" s="36">
        <v>0</v>
      </c>
      <c r="E259" s="37">
        <v>0</v>
      </c>
      <c r="F259" s="34">
        <v>1</v>
      </c>
      <c r="G259" s="48">
        <f t="shared" si="3"/>
        <v>0.48213805555555561</v>
      </c>
    </row>
    <row r="260" spans="1:7" x14ac:dyDescent="0.3">
      <c r="A260" s="33">
        <v>45990.636273148149</v>
      </c>
      <c r="B260" s="34">
        <v>2590</v>
      </c>
      <c r="C260" s="35">
        <v>1.28</v>
      </c>
      <c r="D260" s="36">
        <v>0</v>
      </c>
      <c r="E260" s="37">
        <v>0</v>
      </c>
      <c r="F260" s="34">
        <v>1</v>
      </c>
      <c r="G260" s="48">
        <f t="shared" si="3"/>
        <v>0</v>
      </c>
    </row>
    <row r="261" spans="1:7" x14ac:dyDescent="0.3">
      <c r="A261" s="33">
        <v>45990.636388888888</v>
      </c>
      <c r="B261" s="34">
        <v>2600</v>
      </c>
      <c r="C261" s="35">
        <v>1.2849999999999999</v>
      </c>
      <c r="D261" s="36">
        <v>0</v>
      </c>
      <c r="E261" s="37">
        <v>0</v>
      </c>
      <c r="F261" s="34">
        <v>1</v>
      </c>
      <c r="G261" s="48">
        <f t="shared" si="3"/>
        <v>0</v>
      </c>
    </row>
    <row r="262" spans="1:7" x14ac:dyDescent="0.3">
      <c r="A262" s="33">
        <v>45990.636504629627</v>
      </c>
      <c r="B262" s="34">
        <v>2610</v>
      </c>
      <c r="C262" s="35">
        <v>1.2911999999999999</v>
      </c>
      <c r="D262" s="36">
        <v>0</v>
      </c>
      <c r="E262" s="37">
        <v>0</v>
      </c>
      <c r="F262" s="34">
        <v>1</v>
      </c>
      <c r="G262" s="48">
        <f t="shared" ref="G262:G325" si="4">($B$2/3600)*(D261+D262)/2</f>
        <v>0</v>
      </c>
    </row>
    <row r="263" spans="1:7" x14ac:dyDescent="0.3">
      <c r="A263" s="33">
        <v>45990.636620370373</v>
      </c>
      <c r="B263" s="34">
        <v>2620</v>
      </c>
      <c r="C263" s="35">
        <v>1.2962</v>
      </c>
      <c r="D263" s="36">
        <v>0</v>
      </c>
      <c r="E263" s="37">
        <v>0</v>
      </c>
      <c r="F263" s="34">
        <v>1</v>
      </c>
      <c r="G263" s="48">
        <f t="shared" si="4"/>
        <v>0</v>
      </c>
    </row>
    <row r="264" spans="1:7" x14ac:dyDescent="0.3">
      <c r="A264" s="33">
        <v>45990.636736111112</v>
      </c>
      <c r="B264" s="34">
        <v>2630</v>
      </c>
      <c r="C264" s="35">
        <v>1.3</v>
      </c>
      <c r="D264" s="36">
        <v>0</v>
      </c>
      <c r="E264" s="37">
        <v>0</v>
      </c>
      <c r="F264" s="34">
        <v>1</v>
      </c>
      <c r="G264" s="48">
        <f t="shared" si="4"/>
        <v>0</v>
      </c>
    </row>
    <row r="265" spans="1:7" x14ac:dyDescent="0.3">
      <c r="A265" s="33">
        <v>45990.63685185185</v>
      </c>
      <c r="B265" s="34">
        <v>2640</v>
      </c>
      <c r="C265" s="35">
        <v>1.0638000000000001</v>
      </c>
      <c r="D265" s="36">
        <v>357.16410000000002</v>
      </c>
      <c r="E265" s="37">
        <v>379.98840000000001</v>
      </c>
      <c r="F265" s="34">
        <v>0</v>
      </c>
      <c r="G265" s="48">
        <f t="shared" si="4"/>
        <v>0.49606125000000006</v>
      </c>
    </row>
    <row r="266" spans="1:7" x14ac:dyDescent="0.3">
      <c r="A266" s="33">
        <v>45990.636967592596</v>
      </c>
      <c r="B266" s="34">
        <v>2650</v>
      </c>
      <c r="C266" s="35">
        <v>1.0511999999999999</v>
      </c>
      <c r="D266" s="36">
        <v>353.43920000000003</v>
      </c>
      <c r="E266" s="37">
        <v>371.86365000000001</v>
      </c>
      <c r="F266" s="34">
        <v>0</v>
      </c>
      <c r="G266" s="48">
        <f t="shared" si="4"/>
        <v>0.98694902777777782</v>
      </c>
    </row>
    <row r="267" spans="1:7" x14ac:dyDescent="0.3">
      <c r="A267" s="33">
        <v>45990.637083333335</v>
      </c>
      <c r="B267" s="34">
        <v>2660</v>
      </c>
      <c r="C267" s="35">
        <v>1.0462</v>
      </c>
      <c r="D267" s="36">
        <v>351.5643</v>
      </c>
      <c r="E267" s="37">
        <v>367.48876999999999</v>
      </c>
      <c r="F267" s="34">
        <v>0</v>
      </c>
      <c r="G267" s="48">
        <f t="shared" si="4"/>
        <v>0.97917152777777783</v>
      </c>
    </row>
    <row r="268" spans="1:7" x14ac:dyDescent="0.3">
      <c r="A268" s="33">
        <v>45990.637199074074</v>
      </c>
      <c r="B268" s="34">
        <v>2670</v>
      </c>
      <c r="C268" s="35">
        <v>1.0425</v>
      </c>
      <c r="D268" s="36">
        <v>350.3143</v>
      </c>
      <c r="E268" s="37">
        <v>364.98885999999999</v>
      </c>
      <c r="F268" s="34">
        <v>0</v>
      </c>
      <c r="G268" s="48">
        <f t="shared" si="4"/>
        <v>0.97483138888888898</v>
      </c>
    </row>
    <row r="269" spans="1:7" x14ac:dyDescent="0.3">
      <c r="A269" s="33">
        <v>45990.637314814812</v>
      </c>
      <c r="B269" s="34">
        <v>2680</v>
      </c>
      <c r="C269" s="35">
        <v>1.0387</v>
      </c>
      <c r="D269" s="36">
        <v>349.38929999999999</v>
      </c>
      <c r="E269" s="37">
        <v>362.48894999999999</v>
      </c>
      <c r="F269" s="34">
        <v>0</v>
      </c>
      <c r="G269" s="48">
        <f t="shared" si="4"/>
        <v>0.97181055555555562</v>
      </c>
    </row>
    <row r="270" spans="1:7" x14ac:dyDescent="0.3">
      <c r="A270" s="33">
        <v>45990.637430555558</v>
      </c>
      <c r="B270" s="34">
        <v>2690</v>
      </c>
      <c r="C270" s="35">
        <v>1.0375000000000001</v>
      </c>
      <c r="D270" s="36">
        <v>348.63929999999999</v>
      </c>
      <c r="E270" s="37">
        <v>361.23898000000003</v>
      </c>
      <c r="F270" s="34">
        <v>0</v>
      </c>
      <c r="G270" s="48">
        <f t="shared" si="4"/>
        <v>0.9694841666666667</v>
      </c>
    </row>
    <row r="271" spans="1:7" x14ac:dyDescent="0.3">
      <c r="A271" s="33">
        <v>45990.637546296297</v>
      </c>
      <c r="B271" s="34">
        <v>2700</v>
      </c>
      <c r="C271" s="35">
        <v>1.0362</v>
      </c>
      <c r="D271" s="36">
        <v>348.0394</v>
      </c>
      <c r="E271" s="37">
        <v>360.61398000000003</v>
      </c>
      <c r="F271" s="34">
        <v>0</v>
      </c>
      <c r="G271" s="48">
        <f t="shared" si="4"/>
        <v>0.96760930555555547</v>
      </c>
    </row>
    <row r="272" spans="1:7" x14ac:dyDescent="0.3">
      <c r="A272" s="33">
        <v>45990.637662037036</v>
      </c>
      <c r="B272" s="34">
        <v>2710</v>
      </c>
      <c r="C272" s="35">
        <v>1.0337000000000001</v>
      </c>
      <c r="D272" s="36">
        <v>347.48939999999999</v>
      </c>
      <c r="E272" s="37">
        <v>359.36403999999999</v>
      </c>
      <c r="F272" s="34">
        <v>0</v>
      </c>
      <c r="G272" s="48">
        <f t="shared" si="4"/>
        <v>0.96601222222222227</v>
      </c>
    </row>
    <row r="273" spans="1:7" x14ac:dyDescent="0.3">
      <c r="A273" s="33">
        <v>45990.637777777774</v>
      </c>
      <c r="B273" s="34">
        <v>2720</v>
      </c>
      <c r="C273" s="35">
        <v>1.0325</v>
      </c>
      <c r="D273" s="36">
        <v>347.01440000000002</v>
      </c>
      <c r="E273" s="37">
        <v>358.11407000000003</v>
      </c>
      <c r="F273" s="34">
        <v>0</v>
      </c>
      <c r="G273" s="48">
        <f t="shared" si="4"/>
        <v>0.96458861111111105</v>
      </c>
    </row>
    <row r="274" spans="1:7" x14ac:dyDescent="0.3">
      <c r="A274" s="33">
        <v>45990.63789351852</v>
      </c>
      <c r="B274" s="34">
        <v>2730</v>
      </c>
      <c r="C274" s="35">
        <v>1.0313000000000001</v>
      </c>
      <c r="D274" s="36">
        <v>346.63940000000002</v>
      </c>
      <c r="E274" s="37">
        <v>357.48907000000003</v>
      </c>
      <c r="F274" s="34">
        <v>0</v>
      </c>
      <c r="G274" s="48">
        <f t="shared" si="4"/>
        <v>0.96340805555555564</v>
      </c>
    </row>
    <row r="275" spans="1:7" x14ac:dyDescent="0.3">
      <c r="A275" s="33">
        <v>45990.638009259259</v>
      </c>
      <c r="B275" s="34">
        <v>2740</v>
      </c>
      <c r="C275" s="35">
        <v>1.03</v>
      </c>
      <c r="D275" s="36">
        <v>346.2894</v>
      </c>
      <c r="E275" s="37">
        <v>356.23914000000002</v>
      </c>
      <c r="F275" s="34">
        <v>0</v>
      </c>
      <c r="G275" s="48">
        <f t="shared" si="4"/>
        <v>0.96240111111111115</v>
      </c>
    </row>
    <row r="276" spans="1:7" x14ac:dyDescent="0.3">
      <c r="A276" s="33">
        <v>45990.638124999998</v>
      </c>
      <c r="B276" s="34">
        <v>2750</v>
      </c>
      <c r="C276" s="35">
        <v>1.0286999999999999</v>
      </c>
      <c r="D276" s="36">
        <v>345.96440000000001</v>
      </c>
      <c r="E276" s="37">
        <v>356.23914000000002</v>
      </c>
      <c r="F276" s="34">
        <v>0</v>
      </c>
      <c r="G276" s="48">
        <f t="shared" si="4"/>
        <v>0.96146361111111112</v>
      </c>
    </row>
    <row r="277" spans="1:7" x14ac:dyDescent="0.3">
      <c r="A277" s="33">
        <v>45990.638240740744</v>
      </c>
      <c r="B277" s="34">
        <v>2760</v>
      </c>
      <c r="C277" s="35">
        <v>1.0286999999999999</v>
      </c>
      <c r="D277" s="36">
        <v>345.63940000000002</v>
      </c>
      <c r="E277" s="37">
        <v>355.61414000000002</v>
      </c>
      <c r="F277" s="34">
        <v>0</v>
      </c>
      <c r="G277" s="48">
        <f t="shared" si="4"/>
        <v>0.96056083333333353</v>
      </c>
    </row>
    <row r="278" spans="1:7" x14ac:dyDescent="0.3">
      <c r="A278" s="33">
        <v>45990.638356481482</v>
      </c>
      <c r="B278" s="34">
        <v>2770</v>
      </c>
      <c r="C278" s="35">
        <v>1.0275000000000001</v>
      </c>
      <c r="D278" s="36">
        <v>345.36439999999999</v>
      </c>
      <c r="E278" s="37">
        <v>354.98917</v>
      </c>
      <c r="F278" s="34">
        <v>0</v>
      </c>
      <c r="G278" s="48">
        <f t="shared" si="4"/>
        <v>0.95972749999999996</v>
      </c>
    </row>
    <row r="279" spans="1:7" x14ac:dyDescent="0.3">
      <c r="A279" s="33">
        <v>45990.638472222221</v>
      </c>
      <c r="B279" s="34">
        <v>2780</v>
      </c>
      <c r="C279" s="35">
        <v>1.0263</v>
      </c>
      <c r="D279" s="36">
        <v>345.08940000000001</v>
      </c>
      <c r="E279" s="37">
        <v>354.36419999999998</v>
      </c>
      <c r="F279" s="34">
        <v>0</v>
      </c>
      <c r="G279" s="48">
        <f t="shared" si="4"/>
        <v>0.95896361111111117</v>
      </c>
    </row>
    <row r="280" spans="1:7" x14ac:dyDescent="0.3">
      <c r="A280" s="33">
        <v>45990.63858796296</v>
      </c>
      <c r="B280" s="34">
        <v>2790</v>
      </c>
      <c r="C280" s="35">
        <v>1.0263</v>
      </c>
      <c r="D280" s="36">
        <v>344.83949999999999</v>
      </c>
      <c r="E280" s="37">
        <v>354.36419999999998</v>
      </c>
      <c r="F280" s="34">
        <v>0</v>
      </c>
      <c r="G280" s="48">
        <f t="shared" si="4"/>
        <v>0.95823458333333333</v>
      </c>
    </row>
    <row r="281" spans="1:7" x14ac:dyDescent="0.3">
      <c r="A281" s="33">
        <v>45990.638703703706</v>
      </c>
      <c r="B281" s="34">
        <v>2800</v>
      </c>
      <c r="C281" s="35">
        <v>1.0249999999999999</v>
      </c>
      <c r="D281" s="36">
        <v>344.61450000000002</v>
      </c>
      <c r="E281" s="37">
        <v>353.11423000000002</v>
      </c>
      <c r="F281" s="34">
        <v>0</v>
      </c>
      <c r="G281" s="48">
        <f t="shared" si="4"/>
        <v>0.95757499999999995</v>
      </c>
    </row>
    <row r="282" spans="1:7" x14ac:dyDescent="0.3">
      <c r="A282" s="33">
        <v>45990.638819444444</v>
      </c>
      <c r="B282" s="34">
        <v>2810</v>
      </c>
      <c r="C282" s="35">
        <v>1.0249999999999999</v>
      </c>
      <c r="D282" s="36">
        <v>344.33949999999999</v>
      </c>
      <c r="E282" s="37">
        <v>353.11423000000002</v>
      </c>
      <c r="F282" s="34">
        <v>0</v>
      </c>
      <c r="G282" s="48">
        <f t="shared" si="4"/>
        <v>0.95688055555555551</v>
      </c>
    </row>
    <row r="283" spans="1:7" x14ac:dyDescent="0.3">
      <c r="A283" s="33">
        <v>45990.638935185183</v>
      </c>
      <c r="B283" s="34">
        <v>2820</v>
      </c>
      <c r="C283" s="35">
        <v>1.26</v>
      </c>
      <c r="D283" s="36">
        <v>0</v>
      </c>
      <c r="E283" s="37">
        <v>0</v>
      </c>
      <c r="F283" s="34">
        <v>1</v>
      </c>
      <c r="G283" s="48">
        <f t="shared" si="4"/>
        <v>0.47824930555555556</v>
      </c>
    </row>
    <row r="284" spans="1:7" x14ac:dyDescent="0.3">
      <c r="A284" s="33">
        <v>45990.639050925929</v>
      </c>
      <c r="B284" s="34">
        <v>2830</v>
      </c>
      <c r="C284" s="35">
        <v>1.2737000000000001</v>
      </c>
      <c r="D284" s="36">
        <v>0</v>
      </c>
      <c r="E284" s="37">
        <v>0</v>
      </c>
      <c r="F284" s="34">
        <v>1</v>
      </c>
      <c r="G284" s="48">
        <f t="shared" si="4"/>
        <v>0</v>
      </c>
    </row>
    <row r="285" spans="1:7" x14ac:dyDescent="0.3">
      <c r="A285" s="33">
        <v>45990.639166666668</v>
      </c>
      <c r="B285" s="34">
        <v>2840</v>
      </c>
      <c r="C285" s="35">
        <v>1.2786999999999999</v>
      </c>
      <c r="D285" s="36">
        <v>0</v>
      </c>
      <c r="E285" s="37">
        <v>0</v>
      </c>
      <c r="F285" s="34">
        <v>1</v>
      </c>
      <c r="G285" s="48">
        <f t="shared" si="4"/>
        <v>0</v>
      </c>
    </row>
    <row r="286" spans="1:7" x14ac:dyDescent="0.3">
      <c r="A286" s="33">
        <v>45990.639282407406</v>
      </c>
      <c r="B286" s="34">
        <v>2850</v>
      </c>
      <c r="C286" s="35">
        <v>1.2849999999999999</v>
      </c>
      <c r="D286" s="36">
        <v>0</v>
      </c>
      <c r="E286" s="37">
        <v>0</v>
      </c>
      <c r="F286" s="34">
        <v>1</v>
      </c>
      <c r="G286" s="48">
        <f t="shared" si="4"/>
        <v>0</v>
      </c>
    </row>
    <row r="287" spans="1:7" x14ac:dyDescent="0.3">
      <c r="A287" s="33">
        <v>45990.639398148145</v>
      </c>
      <c r="B287" s="34">
        <v>2860</v>
      </c>
      <c r="C287" s="35">
        <v>1.29</v>
      </c>
      <c r="D287" s="36">
        <v>0</v>
      </c>
      <c r="E287" s="37">
        <v>0</v>
      </c>
      <c r="F287" s="34">
        <v>1</v>
      </c>
      <c r="G287" s="48">
        <f t="shared" si="4"/>
        <v>0</v>
      </c>
    </row>
    <row r="288" spans="1:7" x14ac:dyDescent="0.3">
      <c r="A288" s="33">
        <v>45990.639513888891</v>
      </c>
      <c r="B288" s="34">
        <v>2870</v>
      </c>
      <c r="C288" s="35">
        <v>1.2937000000000001</v>
      </c>
      <c r="D288" s="36">
        <v>0</v>
      </c>
      <c r="E288" s="37">
        <v>0</v>
      </c>
      <c r="F288" s="34">
        <v>1</v>
      </c>
      <c r="G288" s="48">
        <f t="shared" si="4"/>
        <v>0</v>
      </c>
    </row>
    <row r="289" spans="1:7" x14ac:dyDescent="0.3">
      <c r="A289" s="33">
        <v>45990.63962962963</v>
      </c>
      <c r="B289" s="34">
        <v>2880</v>
      </c>
      <c r="C289" s="35">
        <v>1.0549999999999999</v>
      </c>
      <c r="D289" s="36">
        <v>354.23919999999998</v>
      </c>
      <c r="E289" s="37">
        <v>373.73858999999999</v>
      </c>
      <c r="F289" s="34">
        <v>0</v>
      </c>
      <c r="G289" s="48">
        <f t="shared" si="4"/>
        <v>0.49199888888888887</v>
      </c>
    </row>
    <row r="290" spans="1:7" x14ac:dyDescent="0.3">
      <c r="A290" s="33">
        <v>45990.639745370368</v>
      </c>
      <c r="B290" s="34">
        <v>2890</v>
      </c>
      <c r="C290" s="35">
        <v>1.0425</v>
      </c>
      <c r="D290" s="36">
        <v>350.53930000000003</v>
      </c>
      <c r="E290" s="37">
        <v>365.61383000000001</v>
      </c>
      <c r="F290" s="34">
        <v>0</v>
      </c>
      <c r="G290" s="48">
        <f t="shared" si="4"/>
        <v>0.97885902777777778</v>
      </c>
    </row>
    <row r="291" spans="1:7" x14ac:dyDescent="0.3">
      <c r="A291" s="33">
        <v>45990.639861111114</v>
      </c>
      <c r="B291" s="34">
        <v>2900</v>
      </c>
      <c r="C291" s="35">
        <v>1.0387</v>
      </c>
      <c r="D291" s="36">
        <v>348.71440000000001</v>
      </c>
      <c r="E291" s="37">
        <v>361.86394999999999</v>
      </c>
      <c r="F291" s="34">
        <v>0</v>
      </c>
      <c r="G291" s="48">
        <f t="shared" si="4"/>
        <v>0.97118569444444447</v>
      </c>
    </row>
    <row r="292" spans="1:7" x14ac:dyDescent="0.3">
      <c r="A292" s="33">
        <v>45990.639976851853</v>
      </c>
      <c r="B292" s="34">
        <v>2910</v>
      </c>
      <c r="C292" s="35">
        <v>1.0337000000000001</v>
      </c>
      <c r="D292" s="36">
        <v>347.48939999999999</v>
      </c>
      <c r="E292" s="37">
        <v>359.36403999999999</v>
      </c>
      <c r="F292" s="34">
        <v>0</v>
      </c>
      <c r="G292" s="48">
        <f t="shared" si="4"/>
        <v>0.96694972222222231</v>
      </c>
    </row>
    <row r="293" spans="1:7" x14ac:dyDescent="0.3">
      <c r="A293" s="33">
        <v>45990.640092592592</v>
      </c>
      <c r="B293" s="34">
        <v>2920</v>
      </c>
      <c r="C293" s="35">
        <v>1.0313000000000001</v>
      </c>
      <c r="D293" s="36">
        <v>346.56439999999998</v>
      </c>
      <c r="E293" s="37">
        <v>357.48907000000003</v>
      </c>
      <c r="F293" s="34">
        <v>0</v>
      </c>
      <c r="G293" s="48">
        <f t="shared" si="4"/>
        <v>0.96396361111111106</v>
      </c>
    </row>
    <row r="294" spans="1:7" x14ac:dyDescent="0.3">
      <c r="A294" s="33">
        <v>45990.640208333331</v>
      </c>
      <c r="B294" s="34">
        <v>2930</v>
      </c>
      <c r="C294" s="35">
        <v>1.0286999999999999</v>
      </c>
      <c r="D294" s="36">
        <v>345.83940000000001</v>
      </c>
      <c r="E294" s="37">
        <v>355.61414000000002</v>
      </c>
      <c r="F294" s="34">
        <v>0</v>
      </c>
      <c r="G294" s="48">
        <f t="shared" si="4"/>
        <v>0.96167194444444459</v>
      </c>
    </row>
    <row r="295" spans="1:7" x14ac:dyDescent="0.3">
      <c r="A295" s="33">
        <v>45990.640324074076</v>
      </c>
      <c r="B295" s="34">
        <v>2940</v>
      </c>
      <c r="C295" s="35">
        <v>1.0275000000000001</v>
      </c>
      <c r="D295" s="36">
        <v>345.23939999999999</v>
      </c>
      <c r="E295" s="37">
        <v>354.36419999999998</v>
      </c>
      <c r="F295" s="34">
        <v>0</v>
      </c>
      <c r="G295" s="48">
        <f t="shared" si="4"/>
        <v>0.95983166666666675</v>
      </c>
    </row>
    <row r="296" spans="1:7" x14ac:dyDescent="0.3">
      <c r="A296" s="33">
        <v>45990.640439814815</v>
      </c>
      <c r="B296" s="34">
        <v>2950</v>
      </c>
      <c r="C296" s="35">
        <v>1.0249999999999999</v>
      </c>
      <c r="D296" s="36">
        <v>344.73950000000002</v>
      </c>
      <c r="E296" s="37">
        <v>353.11423000000002</v>
      </c>
      <c r="F296" s="34">
        <v>0</v>
      </c>
      <c r="G296" s="48">
        <f t="shared" si="4"/>
        <v>0.9583040277777779</v>
      </c>
    </row>
    <row r="297" spans="1:7" x14ac:dyDescent="0.3">
      <c r="A297" s="33">
        <v>45990.640555555554</v>
      </c>
      <c r="B297" s="34">
        <v>2960</v>
      </c>
      <c r="C297" s="35">
        <v>1.0237000000000001</v>
      </c>
      <c r="D297" s="36">
        <v>344.2645</v>
      </c>
      <c r="E297" s="37">
        <v>352.48926</v>
      </c>
      <c r="F297" s="34">
        <v>0</v>
      </c>
      <c r="G297" s="48">
        <f t="shared" si="4"/>
        <v>0.95695000000000008</v>
      </c>
    </row>
    <row r="298" spans="1:7" x14ac:dyDescent="0.3">
      <c r="A298" s="33">
        <v>45990.6406712963</v>
      </c>
      <c r="B298" s="34">
        <v>2970</v>
      </c>
      <c r="C298" s="35">
        <v>1.0225</v>
      </c>
      <c r="D298" s="36">
        <v>343.86450000000002</v>
      </c>
      <c r="E298" s="37">
        <v>351.86426</v>
      </c>
      <c r="F298" s="34">
        <v>0</v>
      </c>
      <c r="G298" s="48">
        <f t="shared" si="4"/>
        <v>0.95573472222222233</v>
      </c>
    </row>
    <row r="299" spans="1:7" x14ac:dyDescent="0.3">
      <c r="A299" s="33">
        <v>45990.640787037039</v>
      </c>
      <c r="B299" s="34">
        <v>2980</v>
      </c>
      <c r="C299" s="35">
        <v>1.0213000000000001</v>
      </c>
      <c r="D299" s="36">
        <v>343.5145</v>
      </c>
      <c r="E299" s="37">
        <v>351.23928999999998</v>
      </c>
      <c r="F299" s="34">
        <v>0</v>
      </c>
      <c r="G299" s="48">
        <f t="shared" si="4"/>
        <v>0.95469305555555561</v>
      </c>
    </row>
    <row r="300" spans="1:7" x14ac:dyDescent="0.3">
      <c r="A300" s="33">
        <v>45990.640902777777</v>
      </c>
      <c r="B300" s="34">
        <v>2990</v>
      </c>
      <c r="C300" s="35">
        <v>1.02</v>
      </c>
      <c r="D300" s="36">
        <v>343.18950000000001</v>
      </c>
      <c r="E300" s="37">
        <v>349.98932000000002</v>
      </c>
      <c r="F300" s="34">
        <v>0</v>
      </c>
      <c r="G300" s="48">
        <f t="shared" si="4"/>
        <v>0.95375555555555558</v>
      </c>
    </row>
    <row r="301" spans="1:7" x14ac:dyDescent="0.3">
      <c r="A301" s="33">
        <v>45990.641018518516</v>
      </c>
      <c r="B301" s="34">
        <v>3000</v>
      </c>
      <c r="C301" s="35">
        <v>1.02</v>
      </c>
      <c r="D301" s="36">
        <v>342.86450000000002</v>
      </c>
      <c r="E301" s="37">
        <v>349.36435</v>
      </c>
      <c r="F301" s="34">
        <v>0</v>
      </c>
      <c r="G301" s="48">
        <f t="shared" si="4"/>
        <v>0.95285277777777788</v>
      </c>
    </row>
    <row r="302" spans="1:7" x14ac:dyDescent="0.3">
      <c r="A302" s="33">
        <v>45990.641134259262</v>
      </c>
      <c r="B302" s="34">
        <v>3010</v>
      </c>
      <c r="C302" s="35">
        <v>1.0186999999999999</v>
      </c>
      <c r="D302" s="36">
        <v>342.56450000000001</v>
      </c>
      <c r="E302" s="37">
        <v>349.36435</v>
      </c>
      <c r="F302" s="34">
        <v>0</v>
      </c>
      <c r="G302" s="48">
        <f t="shared" si="4"/>
        <v>0.95198472222222241</v>
      </c>
    </row>
    <row r="303" spans="1:7" x14ac:dyDescent="0.3">
      <c r="A303" s="33">
        <v>45990.641250000001</v>
      </c>
      <c r="B303" s="34">
        <v>3020</v>
      </c>
      <c r="C303" s="35">
        <v>1.0186999999999999</v>
      </c>
      <c r="D303" s="36">
        <v>342.28960000000001</v>
      </c>
      <c r="E303" s="37">
        <v>348.11437999999998</v>
      </c>
      <c r="F303" s="34">
        <v>0</v>
      </c>
      <c r="G303" s="48">
        <f t="shared" si="4"/>
        <v>0.95118625000000001</v>
      </c>
    </row>
    <row r="304" spans="1:7" x14ac:dyDescent="0.3">
      <c r="A304" s="33">
        <v>45990.641365740739</v>
      </c>
      <c r="B304" s="34">
        <v>3030</v>
      </c>
      <c r="C304" s="35">
        <v>1.0175000000000001</v>
      </c>
      <c r="D304" s="36">
        <v>342.03960000000001</v>
      </c>
      <c r="E304" s="37">
        <v>348.11437999999998</v>
      </c>
      <c r="F304" s="34">
        <v>0</v>
      </c>
      <c r="G304" s="48">
        <f t="shared" si="4"/>
        <v>0.95045722222222229</v>
      </c>
    </row>
    <row r="305" spans="1:7" x14ac:dyDescent="0.3">
      <c r="A305" s="33">
        <v>45990.641481481478</v>
      </c>
      <c r="B305" s="34">
        <v>3040</v>
      </c>
      <c r="C305" s="35">
        <v>1.0163</v>
      </c>
      <c r="D305" s="36">
        <v>341.76459999999997</v>
      </c>
      <c r="E305" s="37">
        <v>347.48937999999998</v>
      </c>
      <c r="F305" s="34">
        <v>0</v>
      </c>
      <c r="G305" s="48">
        <f t="shared" si="4"/>
        <v>0.94972805555555562</v>
      </c>
    </row>
    <row r="306" spans="1:7" x14ac:dyDescent="0.3">
      <c r="A306" s="33">
        <v>45990.641597222224</v>
      </c>
      <c r="B306" s="34">
        <v>3050</v>
      </c>
      <c r="C306" s="35">
        <v>1.0163</v>
      </c>
      <c r="D306" s="36">
        <v>341.53960000000001</v>
      </c>
      <c r="E306" s="37">
        <v>346.86441000000002</v>
      </c>
      <c r="F306" s="34">
        <v>0</v>
      </c>
      <c r="G306" s="48">
        <f t="shared" si="4"/>
        <v>0.94903361111111117</v>
      </c>
    </row>
    <row r="307" spans="1:7" x14ac:dyDescent="0.3">
      <c r="A307" s="33">
        <v>45990.641712962963</v>
      </c>
      <c r="B307" s="34">
        <v>3060</v>
      </c>
      <c r="C307" s="35">
        <v>1.2549999999999999</v>
      </c>
      <c r="D307" s="36">
        <v>0</v>
      </c>
      <c r="E307" s="37">
        <v>0</v>
      </c>
      <c r="F307" s="34">
        <v>1</v>
      </c>
      <c r="G307" s="48">
        <f t="shared" si="4"/>
        <v>0.47436055555555556</v>
      </c>
    </row>
    <row r="308" spans="1:7" x14ac:dyDescent="0.3">
      <c r="A308" s="33">
        <v>45990.641828703701</v>
      </c>
      <c r="B308" s="34">
        <v>3070</v>
      </c>
      <c r="C308" s="35">
        <v>1.2675000000000001</v>
      </c>
      <c r="D308" s="36">
        <v>0</v>
      </c>
      <c r="E308" s="37">
        <v>0</v>
      </c>
      <c r="F308" s="34">
        <v>1</v>
      </c>
      <c r="G308" s="48">
        <f t="shared" si="4"/>
        <v>0</v>
      </c>
    </row>
    <row r="309" spans="1:7" x14ac:dyDescent="0.3">
      <c r="A309" s="33">
        <v>45990.641944444447</v>
      </c>
      <c r="B309" s="34">
        <v>3080</v>
      </c>
      <c r="C309" s="35">
        <v>1.2749999999999999</v>
      </c>
      <c r="D309" s="36">
        <v>0</v>
      </c>
      <c r="E309" s="37">
        <v>0</v>
      </c>
      <c r="F309" s="34">
        <v>1</v>
      </c>
      <c r="G309" s="48">
        <f t="shared" si="4"/>
        <v>0</v>
      </c>
    </row>
    <row r="310" spans="1:7" x14ac:dyDescent="0.3">
      <c r="A310" s="33">
        <v>45990.642060185186</v>
      </c>
      <c r="B310" s="34">
        <v>3090</v>
      </c>
      <c r="C310" s="35">
        <v>1.2786999999999999</v>
      </c>
      <c r="D310" s="36">
        <v>0</v>
      </c>
      <c r="E310" s="37">
        <v>0</v>
      </c>
      <c r="F310" s="34">
        <v>1</v>
      </c>
      <c r="G310" s="48">
        <f t="shared" si="4"/>
        <v>0</v>
      </c>
    </row>
    <row r="311" spans="1:7" x14ac:dyDescent="0.3">
      <c r="A311" s="33">
        <v>45990.642175925925</v>
      </c>
      <c r="B311" s="34">
        <v>3100</v>
      </c>
      <c r="C311" s="35">
        <v>1.2837000000000001</v>
      </c>
      <c r="D311" s="36">
        <v>0</v>
      </c>
      <c r="E311" s="37">
        <v>0</v>
      </c>
      <c r="F311" s="34">
        <v>1</v>
      </c>
      <c r="G311" s="48">
        <f t="shared" si="4"/>
        <v>0</v>
      </c>
    </row>
    <row r="312" spans="1:7" x14ac:dyDescent="0.3">
      <c r="A312" s="33">
        <v>45990.642291666663</v>
      </c>
      <c r="B312" s="34">
        <v>3110</v>
      </c>
      <c r="C312" s="35">
        <v>1.2875000000000001</v>
      </c>
      <c r="D312" s="36">
        <v>0</v>
      </c>
      <c r="E312" s="37">
        <v>0</v>
      </c>
      <c r="F312" s="34">
        <v>1</v>
      </c>
      <c r="G312" s="48">
        <f t="shared" si="4"/>
        <v>0</v>
      </c>
    </row>
    <row r="313" spans="1:7" x14ac:dyDescent="0.3">
      <c r="A313" s="33">
        <v>45990.642407407409</v>
      </c>
      <c r="B313" s="34">
        <v>3120</v>
      </c>
      <c r="C313" s="35">
        <v>1.0449999999999999</v>
      </c>
      <c r="D313" s="36">
        <v>351.3143</v>
      </c>
      <c r="E313" s="37">
        <v>366.86380000000003</v>
      </c>
      <c r="F313" s="34">
        <v>0</v>
      </c>
      <c r="G313" s="48">
        <f t="shared" si="4"/>
        <v>0.4879365277777778</v>
      </c>
    </row>
    <row r="314" spans="1:7" x14ac:dyDescent="0.3">
      <c r="A314" s="33">
        <v>45990.642523148148</v>
      </c>
      <c r="B314" s="34">
        <v>3130</v>
      </c>
      <c r="C314" s="35">
        <v>1.0349999999999999</v>
      </c>
      <c r="D314" s="36">
        <v>347.6644</v>
      </c>
      <c r="E314" s="37">
        <v>359.36403999999999</v>
      </c>
      <c r="F314" s="34">
        <v>0</v>
      </c>
      <c r="G314" s="48">
        <f t="shared" si="4"/>
        <v>0.97080375000000008</v>
      </c>
    </row>
    <row r="315" spans="1:7" x14ac:dyDescent="0.3">
      <c r="A315" s="33">
        <v>45990.642638888887</v>
      </c>
      <c r="B315" s="34">
        <v>3140</v>
      </c>
      <c r="C315" s="35">
        <v>1.03</v>
      </c>
      <c r="D315" s="36">
        <v>345.86439999999999</v>
      </c>
      <c r="E315" s="37">
        <v>356.23914000000002</v>
      </c>
      <c r="F315" s="34">
        <v>0</v>
      </c>
      <c r="G315" s="48">
        <f t="shared" si="4"/>
        <v>0.9632344444444445</v>
      </c>
    </row>
    <row r="316" spans="1:7" x14ac:dyDescent="0.3">
      <c r="A316" s="33">
        <v>45990.642754629633</v>
      </c>
      <c r="B316" s="34">
        <v>3150</v>
      </c>
      <c r="C316" s="35">
        <v>1.0249999999999999</v>
      </c>
      <c r="D316" s="36">
        <v>344.66449999999998</v>
      </c>
      <c r="E316" s="37">
        <v>353.11423000000002</v>
      </c>
      <c r="F316" s="34">
        <v>0</v>
      </c>
      <c r="G316" s="48">
        <f t="shared" si="4"/>
        <v>0.95906791666666669</v>
      </c>
    </row>
    <row r="317" spans="1:7" x14ac:dyDescent="0.3">
      <c r="A317" s="33">
        <v>45990.642870370371</v>
      </c>
      <c r="B317" s="34">
        <v>3160</v>
      </c>
      <c r="C317" s="35">
        <v>1.0237000000000001</v>
      </c>
      <c r="D317" s="36">
        <v>344.03949999999998</v>
      </c>
      <c r="E317" s="37">
        <v>352.48926</v>
      </c>
      <c r="F317" s="34">
        <v>0</v>
      </c>
      <c r="G317" s="48">
        <f t="shared" si="4"/>
        <v>0.95653333333333335</v>
      </c>
    </row>
    <row r="318" spans="1:7" x14ac:dyDescent="0.3">
      <c r="A318" s="33">
        <v>45990.64298611111</v>
      </c>
      <c r="B318" s="34">
        <v>3170</v>
      </c>
      <c r="C318" s="35">
        <v>1.0213000000000001</v>
      </c>
      <c r="D318" s="36">
        <v>343.46449999999999</v>
      </c>
      <c r="E318" s="37">
        <v>351.23928999999998</v>
      </c>
      <c r="F318" s="34">
        <v>0</v>
      </c>
      <c r="G318" s="48">
        <f t="shared" si="4"/>
        <v>0.95486666666666653</v>
      </c>
    </row>
    <row r="319" spans="1:7" x14ac:dyDescent="0.3">
      <c r="A319" s="33">
        <v>45990.643101851849</v>
      </c>
      <c r="B319" s="34">
        <v>3180</v>
      </c>
      <c r="C319" s="35">
        <v>1.02</v>
      </c>
      <c r="D319" s="36">
        <v>342.86450000000002</v>
      </c>
      <c r="E319" s="37">
        <v>349.36435</v>
      </c>
      <c r="F319" s="34">
        <v>0</v>
      </c>
      <c r="G319" s="48">
        <f t="shared" si="4"/>
        <v>0.95323472222222216</v>
      </c>
    </row>
    <row r="320" spans="1:7" x14ac:dyDescent="0.3">
      <c r="A320" s="33">
        <v>45990.643217592595</v>
      </c>
      <c r="B320" s="34">
        <v>3190</v>
      </c>
      <c r="C320" s="35">
        <v>1.0186999999999999</v>
      </c>
      <c r="D320" s="36">
        <v>342.33949999999999</v>
      </c>
      <c r="E320" s="37">
        <v>349.36435</v>
      </c>
      <c r="F320" s="34">
        <v>0</v>
      </c>
      <c r="G320" s="48">
        <f t="shared" si="4"/>
        <v>0.95167222222222214</v>
      </c>
    </row>
    <row r="321" spans="1:7" x14ac:dyDescent="0.3">
      <c r="A321" s="33">
        <v>45990.643333333333</v>
      </c>
      <c r="B321" s="34">
        <v>3200</v>
      </c>
      <c r="C321" s="35">
        <v>1.0175000000000001</v>
      </c>
      <c r="D321" s="36">
        <v>341.91460000000001</v>
      </c>
      <c r="E321" s="37">
        <v>348.11437999999998</v>
      </c>
      <c r="F321" s="34">
        <v>0</v>
      </c>
      <c r="G321" s="48">
        <f t="shared" si="4"/>
        <v>0.95035291666666666</v>
      </c>
    </row>
    <row r="322" spans="1:7" x14ac:dyDescent="0.3">
      <c r="A322" s="33">
        <v>45990.643449074072</v>
      </c>
      <c r="B322" s="34">
        <v>3210</v>
      </c>
      <c r="C322" s="35">
        <v>1.0163</v>
      </c>
      <c r="D322" s="36">
        <v>341.4896</v>
      </c>
      <c r="E322" s="37">
        <v>346.86441000000002</v>
      </c>
      <c r="F322" s="34">
        <v>0</v>
      </c>
      <c r="G322" s="48">
        <f t="shared" si="4"/>
        <v>0.94917249999999997</v>
      </c>
    </row>
    <row r="323" spans="1:7" x14ac:dyDescent="0.3">
      <c r="A323" s="33">
        <v>45990.643564814818</v>
      </c>
      <c r="B323" s="34">
        <v>3220</v>
      </c>
      <c r="C323" s="35">
        <v>1.0149999999999999</v>
      </c>
      <c r="D323" s="36">
        <v>341.13959999999997</v>
      </c>
      <c r="E323" s="37">
        <v>346.23944</v>
      </c>
      <c r="F323" s="34">
        <v>0</v>
      </c>
      <c r="G323" s="48">
        <f t="shared" si="4"/>
        <v>0.94809611111111114</v>
      </c>
    </row>
    <row r="324" spans="1:7" x14ac:dyDescent="0.3">
      <c r="A324" s="33">
        <v>45990.643680555557</v>
      </c>
      <c r="B324" s="34">
        <v>3230</v>
      </c>
      <c r="C324" s="35">
        <v>1.0137</v>
      </c>
      <c r="D324" s="36">
        <v>340.81459999999998</v>
      </c>
      <c r="E324" s="37">
        <v>344.98946999999998</v>
      </c>
      <c r="F324" s="34">
        <v>0</v>
      </c>
      <c r="G324" s="48">
        <f t="shared" si="4"/>
        <v>0.94715861111111099</v>
      </c>
    </row>
    <row r="325" spans="1:7" x14ac:dyDescent="0.3">
      <c r="A325" s="33">
        <v>45990.643796296295</v>
      </c>
      <c r="B325" s="34">
        <v>3240</v>
      </c>
      <c r="C325" s="35">
        <v>1.0125</v>
      </c>
      <c r="D325" s="36">
        <v>340.4896</v>
      </c>
      <c r="E325" s="37">
        <v>344.98946999999998</v>
      </c>
      <c r="F325" s="34">
        <v>0</v>
      </c>
      <c r="G325" s="48">
        <f t="shared" si="4"/>
        <v>0.94625583333333341</v>
      </c>
    </row>
    <row r="326" spans="1:7" x14ac:dyDescent="0.3">
      <c r="A326" s="33">
        <v>45990.643912037034</v>
      </c>
      <c r="B326" s="34">
        <v>3250</v>
      </c>
      <c r="C326" s="35">
        <v>1.0113000000000001</v>
      </c>
      <c r="D326" s="36">
        <v>340.18959999999998</v>
      </c>
      <c r="E326" s="37">
        <v>344.36450000000002</v>
      </c>
      <c r="F326" s="34">
        <v>0</v>
      </c>
      <c r="G326" s="48">
        <f t="shared" ref="G326:G378" si="5">($B$2/3600)*(D325+D326)/2</f>
        <v>0.94538777777777783</v>
      </c>
    </row>
    <row r="327" spans="1:7" x14ac:dyDescent="0.3">
      <c r="A327" s="33">
        <v>45990.64402777778</v>
      </c>
      <c r="B327" s="34">
        <v>3260</v>
      </c>
      <c r="C327" s="35">
        <v>1.01</v>
      </c>
      <c r="D327" s="36">
        <v>339.91460000000001</v>
      </c>
      <c r="E327" s="37">
        <v>343.73950000000002</v>
      </c>
      <c r="F327" s="34">
        <v>0</v>
      </c>
      <c r="G327" s="48">
        <f t="shared" si="5"/>
        <v>0.9445891666666667</v>
      </c>
    </row>
    <row r="328" spans="1:7" x14ac:dyDescent="0.3">
      <c r="A328" s="33">
        <v>45990.644143518519</v>
      </c>
      <c r="B328" s="34">
        <v>3270</v>
      </c>
      <c r="C328" s="35">
        <v>1.01</v>
      </c>
      <c r="D328" s="36">
        <v>339.63959999999997</v>
      </c>
      <c r="E328" s="37">
        <v>343.11453</v>
      </c>
      <c r="F328" s="34">
        <v>0</v>
      </c>
      <c r="G328" s="48">
        <f t="shared" si="5"/>
        <v>0.94382527777777792</v>
      </c>
    </row>
    <row r="329" spans="1:7" x14ac:dyDescent="0.3">
      <c r="A329" s="33">
        <v>45990.644259259258</v>
      </c>
      <c r="B329" s="34">
        <v>3280</v>
      </c>
      <c r="C329" s="35">
        <v>1.01</v>
      </c>
      <c r="D329" s="36">
        <v>339.3646</v>
      </c>
      <c r="E329" s="37">
        <v>343.11453</v>
      </c>
      <c r="F329" s="34">
        <v>0</v>
      </c>
      <c r="G329" s="48">
        <f t="shared" si="5"/>
        <v>0.94306138888888891</v>
      </c>
    </row>
    <row r="330" spans="1:7" x14ac:dyDescent="0.3">
      <c r="A330" s="33">
        <v>45990.644375000003</v>
      </c>
      <c r="B330" s="34">
        <v>3290</v>
      </c>
      <c r="C330" s="35">
        <v>1.0086999999999999</v>
      </c>
      <c r="D330" s="36">
        <v>339.08960000000002</v>
      </c>
      <c r="E330" s="37">
        <v>341.86455999999998</v>
      </c>
      <c r="F330" s="34">
        <v>0</v>
      </c>
      <c r="G330" s="48">
        <f t="shared" si="5"/>
        <v>0.94229750000000001</v>
      </c>
    </row>
    <row r="331" spans="1:7" x14ac:dyDescent="0.3">
      <c r="A331" s="33">
        <v>45990.644490740742</v>
      </c>
      <c r="B331" s="34">
        <v>3300</v>
      </c>
      <c r="C331" s="35">
        <v>1.25</v>
      </c>
      <c r="D331" s="36">
        <v>0</v>
      </c>
      <c r="E331" s="37">
        <v>0</v>
      </c>
      <c r="F331" s="34">
        <v>1</v>
      </c>
      <c r="G331" s="48">
        <f t="shared" si="5"/>
        <v>0.47095777777777781</v>
      </c>
    </row>
    <row r="332" spans="1:7" x14ac:dyDescent="0.3">
      <c r="A332" s="33">
        <v>45990.644606481481</v>
      </c>
      <c r="B332" s="34">
        <v>3310</v>
      </c>
      <c r="C332" s="35">
        <v>1.2625</v>
      </c>
      <c r="D332" s="36">
        <v>0</v>
      </c>
      <c r="E332" s="37">
        <v>0</v>
      </c>
      <c r="F332" s="34">
        <v>1</v>
      </c>
      <c r="G332" s="48">
        <f t="shared" si="5"/>
        <v>0</v>
      </c>
    </row>
    <row r="333" spans="1:7" x14ac:dyDescent="0.3">
      <c r="A333" s="33">
        <v>45990.64472222222</v>
      </c>
      <c r="B333" s="34">
        <v>3320</v>
      </c>
      <c r="C333" s="35">
        <v>1.2686999999999999</v>
      </c>
      <c r="D333" s="36">
        <v>0</v>
      </c>
      <c r="E333" s="37">
        <v>0</v>
      </c>
      <c r="F333" s="34">
        <v>1</v>
      </c>
      <c r="G333" s="48">
        <f t="shared" si="5"/>
        <v>0</v>
      </c>
    </row>
    <row r="334" spans="1:7" x14ac:dyDescent="0.3">
      <c r="A334" s="33">
        <v>45990.644837962966</v>
      </c>
      <c r="B334" s="34">
        <v>3330</v>
      </c>
      <c r="C334" s="35">
        <v>1.2749999999999999</v>
      </c>
      <c r="D334" s="36">
        <v>0</v>
      </c>
      <c r="E334" s="37">
        <v>0</v>
      </c>
      <c r="F334" s="34">
        <v>1</v>
      </c>
      <c r="G334" s="48">
        <f t="shared" si="5"/>
        <v>0</v>
      </c>
    </row>
    <row r="335" spans="1:7" x14ac:dyDescent="0.3">
      <c r="A335" s="33">
        <v>45990.644953703704</v>
      </c>
      <c r="B335" s="34">
        <v>3340</v>
      </c>
      <c r="C335" s="35">
        <v>1.28</v>
      </c>
      <c r="D335" s="36">
        <v>0</v>
      </c>
      <c r="E335" s="37">
        <v>0</v>
      </c>
      <c r="F335" s="34">
        <v>1</v>
      </c>
      <c r="G335" s="48">
        <f t="shared" si="5"/>
        <v>0</v>
      </c>
    </row>
    <row r="336" spans="1:7" x14ac:dyDescent="0.3">
      <c r="A336" s="33">
        <v>45990.645069444443</v>
      </c>
      <c r="B336" s="34">
        <v>3350</v>
      </c>
      <c r="C336" s="35">
        <v>1.2813000000000001</v>
      </c>
      <c r="D336" s="36">
        <v>0</v>
      </c>
      <c r="E336" s="37">
        <v>0</v>
      </c>
      <c r="F336" s="34">
        <v>1</v>
      </c>
      <c r="G336" s="48">
        <f t="shared" si="5"/>
        <v>0</v>
      </c>
    </row>
    <row r="337" spans="1:7" x14ac:dyDescent="0.3">
      <c r="A337" s="33">
        <v>45990.645185185182</v>
      </c>
      <c r="B337" s="34">
        <v>3360</v>
      </c>
      <c r="C337" s="35">
        <v>1.0387</v>
      </c>
      <c r="D337" s="36">
        <v>348.8143</v>
      </c>
      <c r="E337" s="37">
        <v>362.48894999999999</v>
      </c>
      <c r="F337" s="34">
        <v>0</v>
      </c>
      <c r="G337" s="48">
        <f t="shared" si="5"/>
        <v>0.48446430555555559</v>
      </c>
    </row>
    <row r="338" spans="1:7" x14ac:dyDescent="0.3">
      <c r="A338" s="33">
        <v>45990.645300925928</v>
      </c>
      <c r="B338" s="34">
        <v>3370</v>
      </c>
      <c r="C338" s="35">
        <v>1.0275000000000001</v>
      </c>
      <c r="D338" s="36">
        <v>345.03949999999998</v>
      </c>
      <c r="E338" s="37">
        <v>354.36419999999998</v>
      </c>
      <c r="F338" s="34">
        <v>0</v>
      </c>
      <c r="G338" s="48">
        <f t="shared" si="5"/>
        <v>0.96368583333333335</v>
      </c>
    </row>
    <row r="339" spans="1:7" x14ac:dyDescent="0.3">
      <c r="A339" s="33">
        <v>45990.645416666666</v>
      </c>
      <c r="B339" s="34">
        <v>3380</v>
      </c>
      <c r="C339" s="35">
        <v>1.0213000000000001</v>
      </c>
      <c r="D339" s="36">
        <v>343.28949999999998</v>
      </c>
      <c r="E339" s="37">
        <v>349.98932000000002</v>
      </c>
      <c r="F339" s="34">
        <v>0</v>
      </c>
      <c r="G339" s="48">
        <f t="shared" si="5"/>
        <v>0.95601249999999993</v>
      </c>
    </row>
    <row r="340" spans="1:7" x14ac:dyDescent="0.3">
      <c r="A340" s="33">
        <v>45990.645532407405</v>
      </c>
      <c r="B340" s="34">
        <v>3390</v>
      </c>
      <c r="C340" s="35">
        <v>1.0175000000000001</v>
      </c>
      <c r="D340" s="36">
        <v>342.08949999999999</v>
      </c>
      <c r="E340" s="37">
        <v>348.11437999999998</v>
      </c>
      <c r="F340" s="34">
        <v>0</v>
      </c>
      <c r="G340" s="48">
        <f t="shared" si="5"/>
        <v>0.95191527777777774</v>
      </c>
    </row>
    <row r="341" spans="1:7" x14ac:dyDescent="0.3">
      <c r="A341" s="33">
        <v>45990.645648148151</v>
      </c>
      <c r="B341" s="34">
        <v>3400</v>
      </c>
      <c r="C341" s="35">
        <v>1.0149999999999999</v>
      </c>
      <c r="D341" s="36">
        <v>341.18959999999998</v>
      </c>
      <c r="E341" s="37">
        <v>346.23944</v>
      </c>
      <c r="F341" s="34">
        <v>0</v>
      </c>
      <c r="G341" s="48">
        <f t="shared" si="5"/>
        <v>0.94899875</v>
      </c>
    </row>
    <row r="342" spans="1:7" x14ac:dyDescent="0.3">
      <c r="A342" s="33">
        <v>45990.64576388889</v>
      </c>
      <c r="B342" s="34">
        <v>3410</v>
      </c>
      <c r="C342" s="35">
        <v>1.0125</v>
      </c>
      <c r="D342" s="36">
        <v>340.46460000000002</v>
      </c>
      <c r="E342" s="37">
        <v>344.98946999999998</v>
      </c>
      <c r="F342" s="34">
        <v>0</v>
      </c>
      <c r="G342" s="48">
        <f t="shared" si="5"/>
        <v>0.94674194444444437</v>
      </c>
    </row>
    <row r="343" spans="1:7" x14ac:dyDescent="0.3">
      <c r="A343" s="33">
        <v>45990.645879629628</v>
      </c>
      <c r="B343" s="34">
        <v>3420</v>
      </c>
      <c r="C343" s="35">
        <v>1.01</v>
      </c>
      <c r="D343" s="36">
        <v>339.83960000000002</v>
      </c>
      <c r="E343" s="37">
        <v>343.73950000000002</v>
      </c>
      <c r="F343" s="34">
        <v>0</v>
      </c>
      <c r="G343" s="48">
        <f t="shared" si="5"/>
        <v>0.94486694444444452</v>
      </c>
    </row>
    <row r="344" spans="1:7" x14ac:dyDescent="0.3">
      <c r="A344" s="33">
        <v>45990.645995370367</v>
      </c>
      <c r="B344" s="34">
        <v>3430</v>
      </c>
      <c r="C344" s="35">
        <v>1.0086999999999999</v>
      </c>
      <c r="D344" s="36">
        <v>339.33960000000002</v>
      </c>
      <c r="E344" s="37">
        <v>342.48955999999998</v>
      </c>
      <c r="F344" s="34">
        <v>0</v>
      </c>
      <c r="G344" s="48">
        <f t="shared" si="5"/>
        <v>0.9433044444444445</v>
      </c>
    </row>
    <row r="345" spans="1:7" x14ac:dyDescent="0.3">
      <c r="A345" s="33">
        <v>45990.646111111113</v>
      </c>
      <c r="B345" s="34">
        <v>3440</v>
      </c>
      <c r="C345" s="35">
        <v>1.0075000000000001</v>
      </c>
      <c r="D345" s="36">
        <v>338.86470000000003</v>
      </c>
      <c r="E345" s="37">
        <v>341.23959000000002</v>
      </c>
      <c r="F345" s="34">
        <v>0</v>
      </c>
      <c r="G345" s="48">
        <f t="shared" si="5"/>
        <v>0.9419504166666669</v>
      </c>
    </row>
    <row r="346" spans="1:7" x14ac:dyDescent="0.3">
      <c r="A346" s="33">
        <v>45990.646226851852</v>
      </c>
      <c r="B346" s="34">
        <v>3450</v>
      </c>
      <c r="C346" s="35">
        <v>1.0063</v>
      </c>
      <c r="D346" s="36">
        <v>338.46469999999999</v>
      </c>
      <c r="E346" s="37">
        <v>341.23959000000002</v>
      </c>
      <c r="F346" s="34">
        <v>0</v>
      </c>
      <c r="G346" s="48">
        <f t="shared" si="5"/>
        <v>0.94073527777777788</v>
      </c>
    </row>
    <row r="347" spans="1:7" x14ac:dyDescent="0.3">
      <c r="A347" s="33">
        <v>45990.64634259259</v>
      </c>
      <c r="B347" s="34">
        <v>3460</v>
      </c>
      <c r="C347" s="35">
        <v>1.0049999999999999</v>
      </c>
      <c r="D347" s="36">
        <v>338.08969999999999</v>
      </c>
      <c r="E347" s="37">
        <v>339.98962</v>
      </c>
      <c r="F347" s="34">
        <v>0</v>
      </c>
      <c r="G347" s="48">
        <f t="shared" si="5"/>
        <v>0.93965888888888893</v>
      </c>
    </row>
    <row r="348" spans="1:7" x14ac:dyDescent="0.3">
      <c r="A348" s="33">
        <v>45990.646458333336</v>
      </c>
      <c r="B348" s="34">
        <v>3470</v>
      </c>
      <c r="C348" s="35">
        <v>1.0049999999999999</v>
      </c>
      <c r="D348" s="36">
        <v>337.7647</v>
      </c>
      <c r="E348" s="37">
        <v>338.73964999999998</v>
      </c>
      <c r="F348" s="34">
        <v>0</v>
      </c>
      <c r="G348" s="48">
        <f t="shared" si="5"/>
        <v>0.93868666666666667</v>
      </c>
    </row>
    <row r="349" spans="1:7" x14ac:dyDescent="0.3">
      <c r="A349" s="33">
        <v>45990.646574074075</v>
      </c>
      <c r="B349" s="34">
        <v>3480</v>
      </c>
      <c r="C349" s="35">
        <v>1.0037</v>
      </c>
      <c r="D349" s="36">
        <v>337.43970000000002</v>
      </c>
      <c r="E349" s="37">
        <v>338.73964999999998</v>
      </c>
      <c r="F349" s="34">
        <v>0</v>
      </c>
      <c r="G349" s="48">
        <f t="shared" si="5"/>
        <v>0.93778388888888908</v>
      </c>
    </row>
    <row r="350" spans="1:7" x14ac:dyDescent="0.3">
      <c r="A350" s="33">
        <v>45990.646689814814</v>
      </c>
      <c r="B350" s="34">
        <v>3490</v>
      </c>
      <c r="C350" s="35">
        <v>1.0024999999999999</v>
      </c>
      <c r="D350" s="36">
        <v>337.11470000000003</v>
      </c>
      <c r="E350" s="37">
        <v>338.11469</v>
      </c>
      <c r="F350" s="34">
        <v>0</v>
      </c>
      <c r="G350" s="48">
        <f t="shared" si="5"/>
        <v>0.93688111111111116</v>
      </c>
    </row>
    <row r="351" spans="1:7" x14ac:dyDescent="0.3">
      <c r="A351" s="33">
        <v>45990.646805555552</v>
      </c>
      <c r="B351" s="34">
        <v>3500</v>
      </c>
      <c r="C351" s="35">
        <v>1.0013000000000001</v>
      </c>
      <c r="D351" s="36">
        <v>336.81470000000002</v>
      </c>
      <c r="E351" s="37">
        <v>337.48969</v>
      </c>
      <c r="F351" s="34">
        <v>0</v>
      </c>
      <c r="G351" s="48">
        <f t="shared" si="5"/>
        <v>0.93601305555555558</v>
      </c>
    </row>
    <row r="352" spans="1:7" x14ac:dyDescent="0.3">
      <c r="A352" s="33">
        <v>45990.646921296298</v>
      </c>
      <c r="B352" s="34">
        <v>3510</v>
      </c>
      <c r="C352" s="35">
        <v>1</v>
      </c>
      <c r="D352" s="36">
        <v>336.56470000000002</v>
      </c>
      <c r="E352" s="37">
        <v>336.86471999999998</v>
      </c>
      <c r="F352" s="34">
        <v>0</v>
      </c>
      <c r="G352" s="48">
        <f t="shared" si="5"/>
        <v>0.9352491666666668</v>
      </c>
    </row>
    <row r="353" spans="1:7" x14ac:dyDescent="0.3">
      <c r="A353" s="33">
        <v>45990.647037037037</v>
      </c>
      <c r="B353" s="34">
        <v>3520</v>
      </c>
      <c r="C353" s="35">
        <v>1</v>
      </c>
      <c r="D353" s="36">
        <v>336.33969999999999</v>
      </c>
      <c r="E353" s="37">
        <v>336.23975000000002</v>
      </c>
      <c r="F353" s="34">
        <v>0</v>
      </c>
      <c r="G353" s="48">
        <f t="shared" si="5"/>
        <v>0.93458944444444447</v>
      </c>
    </row>
    <row r="354" spans="1:7" x14ac:dyDescent="0.3">
      <c r="A354" s="33">
        <v>45990.647152777776</v>
      </c>
      <c r="B354" s="34">
        <v>3530</v>
      </c>
      <c r="C354" s="35">
        <v>0.99870000000000003</v>
      </c>
      <c r="D354" s="36">
        <v>336.06470000000002</v>
      </c>
      <c r="E354" s="37">
        <v>335.61475000000002</v>
      </c>
      <c r="F354" s="34">
        <v>0</v>
      </c>
      <c r="G354" s="48">
        <f t="shared" si="5"/>
        <v>0.93389500000000003</v>
      </c>
    </row>
    <row r="355" spans="1:7" x14ac:dyDescent="0.3">
      <c r="A355" s="33">
        <v>45990.647268518522</v>
      </c>
      <c r="B355" s="34">
        <v>3540</v>
      </c>
      <c r="C355" s="35">
        <v>1.2450000000000001</v>
      </c>
      <c r="D355" s="36">
        <v>0</v>
      </c>
      <c r="E355" s="37">
        <v>0</v>
      </c>
      <c r="F355" s="34">
        <v>1</v>
      </c>
      <c r="G355" s="48">
        <f t="shared" si="5"/>
        <v>0.46675652777777782</v>
      </c>
    </row>
    <row r="356" spans="1:7" x14ac:dyDescent="0.3">
      <c r="A356" s="33">
        <v>45990.64738425926</v>
      </c>
      <c r="B356" s="34">
        <v>3550</v>
      </c>
      <c r="C356" s="35">
        <v>1.2575000000000001</v>
      </c>
      <c r="D356" s="36">
        <v>0</v>
      </c>
      <c r="E356" s="37">
        <v>0</v>
      </c>
      <c r="F356" s="34">
        <v>1</v>
      </c>
      <c r="G356" s="48">
        <f t="shared" si="5"/>
        <v>0</v>
      </c>
    </row>
    <row r="357" spans="1:7" x14ac:dyDescent="0.3">
      <c r="A357" s="33">
        <v>45990.647499999999</v>
      </c>
      <c r="B357" s="34">
        <v>3560</v>
      </c>
      <c r="C357" s="35">
        <v>1.2637</v>
      </c>
      <c r="D357" s="36">
        <v>0</v>
      </c>
      <c r="E357" s="37">
        <v>0</v>
      </c>
      <c r="F357" s="34">
        <v>1</v>
      </c>
      <c r="G357" s="48">
        <f t="shared" si="5"/>
        <v>0</v>
      </c>
    </row>
    <row r="358" spans="1:7" x14ac:dyDescent="0.3">
      <c r="A358" s="33">
        <v>45990.647615740738</v>
      </c>
      <c r="B358" s="34">
        <v>3570</v>
      </c>
      <c r="C358" s="35">
        <v>1.27</v>
      </c>
      <c r="D358" s="36">
        <v>0</v>
      </c>
      <c r="E358" s="37">
        <v>0</v>
      </c>
      <c r="F358" s="34">
        <v>1</v>
      </c>
      <c r="G358" s="48">
        <f t="shared" si="5"/>
        <v>0</v>
      </c>
    </row>
    <row r="359" spans="1:7" x14ac:dyDescent="0.3">
      <c r="A359" s="33">
        <v>45990.647731481484</v>
      </c>
      <c r="B359" s="34">
        <v>3580</v>
      </c>
      <c r="C359" s="35">
        <v>1.2749999999999999</v>
      </c>
      <c r="D359" s="36">
        <v>0</v>
      </c>
      <c r="E359" s="37">
        <v>0</v>
      </c>
      <c r="F359" s="34">
        <v>1</v>
      </c>
      <c r="G359" s="48">
        <f t="shared" si="5"/>
        <v>0</v>
      </c>
    </row>
    <row r="360" spans="1:7" x14ac:dyDescent="0.3">
      <c r="A360" s="33">
        <v>45990.647847222222</v>
      </c>
      <c r="B360" s="34">
        <v>3590</v>
      </c>
      <c r="C360" s="35">
        <v>1.2775000000000001</v>
      </c>
      <c r="D360" s="36">
        <v>0</v>
      </c>
      <c r="E360" s="37">
        <v>0</v>
      </c>
      <c r="F360" s="34">
        <v>1</v>
      </c>
      <c r="G360" s="48">
        <f t="shared" si="5"/>
        <v>0</v>
      </c>
    </row>
    <row r="361" spans="1:7" x14ac:dyDescent="0.3">
      <c r="A361" s="33">
        <v>45990.647962962961</v>
      </c>
      <c r="B361" s="34">
        <v>3600</v>
      </c>
      <c r="C361" s="35">
        <v>1.0286999999999999</v>
      </c>
      <c r="D361" s="36">
        <v>345.6644</v>
      </c>
      <c r="E361" s="37">
        <v>355.61414000000002</v>
      </c>
      <c r="F361" s="34">
        <v>0</v>
      </c>
      <c r="G361" s="48">
        <f t="shared" si="5"/>
        <v>0.48008944444444446</v>
      </c>
    </row>
    <row r="362" spans="1:7" x14ac:dyDescent="0.3">
      <c r="A362" s="33">
        <v>45990.648078703707</v>
      </c>
      <c r="B362" s="34">
        <v>3610</v>
      </c>
      <c r="C362" s="35">
        <v>1.0175000000000001</v>
      </c>
      <c r="D362" s="36">
        <v>341.8646</v>
      </c>
      <c r="E362" s="37">
        <v>348.11437999999998</v>
      </c>
      <c r="F362" s="34">
        <v>0</v>
      </c>
      <c r="G362" s="48">
        <f t="shared" si="5"/>
        <v>0.95490138888888887</v>
      </c>
    </row>
    <row r="363" spans="1:7" x14ac:dyDescent="0.3">
      <c r="A363" s="33">
        <v>45990.648194444446</v>
      </c>
      <c r="B363" s="34">
        <v>3620</v>
      </c>
      <c r="C363" s="35">
        <v>1.0113000000000001</v>
      </c>
      <c r="D363" s="36">
        <v>340.13959999999997</v>
      </c>
      <c r="E363" s="37">
        <v>344.36450000000002</v>
      </c>
      <c r="F363" s="34">
        <v>0</v>
      </c>
      <c r="G363" s="48">
        <f t="shared" si="5"/>
        <v>0.94722805555555556</v>
      </c>
    </row>
    <row r="364" spans="1:7" x14ac:dyDescent="0.3">
      <c r="A364" s="33">
        <v>45990.648310185185</v>
      </c>
      <c r="B364" s="34">
        <v>3630</v>
      </c>
      <c r="C364" s="35">
        <v>1.0086999999999999</v>
      </c>
      <c r="D364" s="36">
        <v>338.98970000000003</v>
      </c>
      <c r="E364" s="37">
        <v>341.86455999999998</v>
      </c>
      <c r="F364" s="34">
        <v>0</v>
      </c>
      <c r="G364" s="48">
        <f t="shared" si="5"/>
        <v>0.94323513888888899</v>
      </c>
    </row>
    <row r="365" spans="1:7" x14ac:dyDescent="0.3">
      <c r="A365" s="33">
        <v>45990.648425925923</v>
      </c>
      <c r="B365" s="34">
        <v>3640</v>
      </c>
      <c r="C365" s="35">
        <v>1.0049999999999999</v>
      </c>
      <c r="D365" s="36">
        <v>338.06470000000002</v>
      </c>
      <c r="E365" s="37">
        <v>339.98962</v>
      </c>
      <c r="F365" s="34">
        <v>0</v>
      </c>
      <c r="G365" s="48">
        <f t="shared" si="5"/>
        <v>0.94035333333333337</v>
      </c>
    </row>
    <row r="366" spans="1:7" x14ac:dyDescent="0.3">
      <c r="A366" s="33">
        <v>45990.648541666669</v>
      </c>
      <c r="B366" s="34">
        <v>3650</v>
      </c>
      <c r="C366" s="35">
        <v>1.0024999999999999</v>
      </c>
      <c r="D366" s="36">
        <v>337.33969999999999</v>
      </c>
      <c r="E366" s="37">
        <v>338.11469</v>
      </c>
      <c r="F366" s="34">
        <v>0</v>
      </c>
      <c r="G366" s="48">
        <f t="shared" si="5"/>
        <v>0.93806166666666668</v>
      </c>
    </row>
    <row r="367" spans="1:7" x14ac:dyDescent="0.3">
      <c r="A367" s="33">
        <v>45990.648657407408</v>
      </c>
      <c r="B367" s="34">
        <v>3660</v>
      </c>
      <c r="C367" s="35">
        <v>1.0013000000000001</v>
      </c>
      <c r="D367" s="36">
        <v>336.71469999999999</v>
      </c>
      <c r="E367" s="37">
        <v>336.86471999999998</v>
      </c>
      <c r="F367" s="34">
        <v>0</v>
      </c>
      <c r="G367" s="48">
        <f t="shared" si="5"/>
        <v>0.93618666666666672</v>
      </c>
    </row>
    <row r="368" spans="1:7" x14ac:dyDescent="0.3">
      <c r="A368" s="33">
        <v>45990.648773148147</v>
      </c>
      <c r="B368" s="34">
        <v>3670</v>
      </c>
      <c r="C368" s="35">
        <v>1</v>
      </c>
      <c r="D368" s="36">
        <v>336.21469999999999</v>
      </c>
      <c r="E368" s="37">
        <v>335.61475000000002</v>
      </c>
      <c r="F368" s="34">
        <v>0</v>
      </c>
      <c r="G368" s="48">
        <f t="shared" si="5"/>
        <v>0.9346241666666667</v>
      </c>
    </row>
    <row r="369" spans="1:7" x14ac:dyDescent="0.3">
      <c r="A369" s="33">
        <v>45990.648888888885</v>
      </c>
      <c r="B369" s="34">
        <v>3680</v>
      </c>
      <c r="C369" s="35">
        <v>0.99870000000000003</v>
      </c>
      <c r="D369" s="36">
        <v>335.73970000000003</v>
      </c>
      <c r="E369" s="37">
        <v>334.98978</v>
      </c>
      <c r="F369" s="34">
        <v>0</v>
      </c>
      <c r="G369" s="48">
        <f t="shared" si="5"/>
        <v>0.93327000000000016</v>
      </c>
    </row>
    <row r="370" spans="1:7" x14ac:dyDescent="0.3">
      <c r="A370" s="33">
        <v>45990.649004629631</v>
      </c>
      <c r="B370" s="34">
        <v>3690</v>
      </c>
      <c r="C370" s="35">
        <v>0.99750000000000005</v>
      </c>
      <c r="D370" s="36">
        <v>335.33980000000003</v>
      </c>
      <c r="E370" s="37">
        <v>334.98978</v>
      </c>
      <c r="F370" s="34">
        <v>0</v>
      </c>
      <c r="G370" s="48">
        <f t="shared" si="5"/>
        <v>0.93205486111111124</v>
      </c>
    </row>
    <row r="371" spans="1:7" x14ac:dyDescent="0.3">
      <c r="A371" s="33">
        <v>45990.64912037037</v>
      </c>
      <c r="B371" s="34">
        <v>3700</v>
      </c>
      <c r="C371" s="35">
        <v>0.99619999999999997</v>
      </c>
      <c r="D371" s="36">
        <v>334.96480000000003</v>
      </c>
      <c r="E371" s="37">
        <v>333.73980999999998</v>
      </c>
      <c r="F371" s="34">
        <v>0</v>
      </c>
      <c r="G371" s="48">
        <f t="shared" si="5"/>
        <v>0.93097861111111124</v>
      </c>
    </row>
    <row r="372" spans="1:7" x14ac:dyDescent="0.3">
      <c r="A372" s="33">
        <v>45990.649236111109</v>
      </c>
      <c r="B372" s="34">
        <v>3710</v>
      </c>
      <c r="C372" s="35">
        <v>0.995</v>
      </c>
      <c r="D372" s="36">
        <v>334.6148</v>
      </c>
      <c r="E372" s="37">
        <v>332.48987</v>
      </c>
      <c r="F372" s="34">
        <v>0</v>
      </c>
      <c r="G372" s="48">
        <f t="shared" si="5"/>
        <v>0.92997166666666675</v>
      </c>
    </row>
    <row r="373" spans="1:7" x14ac:dyDescent="0.3">
      <c r="A373" s="33">
        <v>45990.649351851855</v>
      </c>
      <c r="B373" s="34">
        <v>3720</v>
      </c>
      <c r="C373" s="35">
        <v>0.99370000000000003</v>
      </c>
      <c r="D373" s="36">
        <v>334.31479999999999</v>
      </c>
      <c r="E373" s="37">
        <v>331.86487</v>
      </c>
      <c r="F373" s="34">
        <v>0</v>
      </c>
      <c r="G373" s="48">
        <f t="shared" si="5"/>
        <v>0.92906888888888883</v>
      </c>
    </row>
    <row r="374" spans="1:7" x14ac:dyDescent="0.3">
      <c r="A374" s="33">
        <v>45990.649467592593</v>
      </c>
      <c r="B374" s="34">
        <v>3730</v>
      </c>
      <c r="C374" s="35">
        <v>0.99370000000000003</v>
      </c>
      <c r="D374" s="36">
        <v>334.03980000000001</v>
      </c>
      <c r="E374" s="37">
        <v>331.86487</v>
      </c>
      <c r="F374" s="34">
        <v>0</v>
      </c>
      <c r="G374" s="48">
        <f t="shared" si="5"/>
        <v>0.92827027777777782</v>
      </c>
    </row>
    <row r="375" spans="1:7" x14ac:dyDescent="0.3">
      <c r="A375" s="33">
        <v>45990.649583333332</v>
      </c>
      <c r="B375" s="34">
        <v>3740</v>
      </c>
      <c r="C375" s="35">
        <v>0.99250000000000005</v>
      </c>
      <c r="D375" s="36">
        <v>333.7398</v>
      </c>
      <c r="E375" s="37">
        <v>330.61489999999998</v>
      </c>
      <c r="F375" s="34">
        <v>0</v>
      </c>
      <c r="G375" s="48">
        <f t="shared" si="5"/>
        <v>0.92747166666666681</v>
      </c>
    </row>
    <row r="376" spans="1:7" x14ac:dyDescent="0.3">
      <c r="A376" s="33">
        <v>45990.649699074071</v>
      </c>
      <c r="B376" s="34">
        <v>3750</v>
      </c>
      <c r="C376" s="35">
        <v>0.99119999999999997</v>
      </c>
      <c r="D376" s="36">
        <v>333.46480000000003</v>
      </c>
      <c r="E376" s="37">
        <v>330.61489999999998</v>
      </c>
      <c r="F376" s="34">
        <v>0</v>
      </c>
      <c r="G376" s="48">
        <f t="shared" si="5"/>
        <v>0.92667305555555568</v>
      </c>
    </row>
    <row r="377" spans="1:7" x14ac:dyDescent="0.3">
      <c r="A377" s="33">
        <v>45990.649814814817</v>
      </c>
      <c r="B377" s="34">
        <v>3760</v>
      </c>
      <c r="C377" s="35">
        <v>0.99119999999999997</v>
      </c>
      <c r="D377" s="36">
        <v>333.18979999999999</v>
      </c>
      <c r="E377" s="37">
        <v>329.98993000000002</v>
      </c>
      <c r="F377" s="34">
        <v>0</v>
      </c>
      <c r="G377" s="48">
        <f t="shared" si="5"/>
        <v>0.92590916666666678</v>
      </c>
    </row>
    <row r="378" spans="1:7" x14ac:dyDescent="0.3">
      <c r="A378" s="33">
        <v>45990.649930555555</v>
      </c>
      <c r="B378" s="34">
        <v>3770</v>
      </c>
      <c r="C378" s="35">
        <v>0.98870000000000002</v>
      </c>
      <c r="D378" s="36">
        <v>332.93979999999999</v>
      </c>
      <c r="E378" s="37">
        <v>329.36496</v>
      </c>
      <c r="F378" s="34">
        <v>0</v>
      </c>
      <c r="G378" s="48">
        <f t="shared" si="5"/>
        <v>0.92518</v>
      </c>
    </row>
    <row r="379" spans="1:7" x14ac:dyDescent="0.3">
      <c r="A379" s="32" t="s">
        <v>5</v>
      </c>
    </row>
    <row r="380" spans="1:7" x14ac:dyDescent="0.3">
      <c r="B380" s="46">
        <f>B378/3600</f>
        <v>1.0472222222222223</v>
      </c>
      <c r="D380" s="43">
        <f>AVERAGEIF(D2:D378,"&gt;0")</f>
        <v>358.82181993006981</v>
      </c>
      <c r="G380" s="47">
        <f>D380*B380</f>
        <v>375.7661836489898</v>
      </c>
    </row>
    <row r="381" spans="1:7" x14ac:dyDescent="0.3">
      <c r="B381" s="50"/>
      <c r="D381" s="43">
        <f>D380</f>
        <v>358.82181993006981</v>
      </c>
      <c r="G381" s="50"/>
    </row>
    <row r="382" spans="1:7" x14ac:dyDescent="0.3">
      <c r="G382" s="49">
        <f>SUM(G2:G378)</f>
        <v>284.60158500000006</v>
      </c>
    </row>
    <row r="384" spans="1:7" x14ac:dyDescent="0.3">
      <c r="A384" s="51">
        <v>45990.606388888889</v>
      </c>
      <c r="B384">
        <v>10</v>
      </c>
      <c r="C384">
        <v>1.56</v>
      </c>
      <c r="D384">
        <v>0</v>
      </c>
      <c r="E384">
        <v>0</v>
      </c>
      <c r="F384">
        <v>0</v>
      </c>
    </row>
    <row r="385" spans="1:6" x14ac:dyDescent="0.3">
      <c r="A385" s="51">
        <v>45990.606504629628</v>
      </c>
      <c r="B385">
        <v>20</v>
      </c>
      <c r="C385">
        <v>1.56</v>
      </c>
      <c r="D385">
        <v>0</v>
      </c>
      <c r="E385">
        <v>0</v>
      </c>
      <c r="F385">
        <v>0</v>
      </c>
    </row>
    <row r="386" spans="1:6" x14ac:dyDescent="0.3">
      <c r="A386" s="51">
        <v>45990.606620370374</v>
      </c>
      <c r="B386">
        <v>30</v>
      </c>
      <c r="C386">
        <v>1.56</v>
      </c>
      <c r="D386">
        <v>0</v>
      </c>
      <c r="E386">
        <v>0</v>
      </c>
      <c r="F386">
        <v>0</v>
      </c>
    </row>
    <row r="387" spans="1:6" x14ac:dyDescent="0.3">
      <c r="A387" s="51">
        <v>45990.606736111113</v>
      </c>
      <c r="B387">
        <v>40</v>
      </c>
      <c r="C387">
        <v>1.2437</v>
      </c>
      <c r="D387">
        <v>415.26229999999998</v>
      </c>
      <c r="E387">
        <v>516.23424999999997</v>
      </c>
      <c r="F387">
        <v>0</v>
      </c>
    </row>
    <row r="388" spans="1:6" x14ac:dyDescent="0.3">
      <c r="A388" s="51">
        <v>45990.606851851851</v>
      </c>
      <c r="B388">
        <v>50</v>
      </c>
      <c r="C388">
        <v>1.2324999999999999</v>
      </c>
      <c r="D388">
        <v>411.7124</v>
      </c>
      <c r="E388">
        <v>507.48450000000003</v>
      </c>
      <c r="F388">
        <v>0</v>
      </c>
    </row>
    <row r="389" spans="1:6" x14ac:dyDescent="0.3">
      <c r="A389" s="51">
        <v>45990.60696759259</v>
      </c>
      <c r="B389">
        <v>60</v>
      </c>
      <c r="C389">
        <v>1.2250000000000001</v>
      </c>
      <c r="D389">
        <v>409.4375</v>
      </c>
      <c r="E389">
        <v>501.85968000000003</v>
      </c>
      <c r="F389">
        <v>0</v>
      </c>
    </row>
    <row r="390" spans="1:6" x14ac:dyDescent="0.3">
      <c r="A390" s="51">
        <v>45990.607083333336</v>
      </c>
      <c r="B390">
        <v>70</v>
      </c>
      <c r="C390">
        <v>1.22</v>
      </c>
      <c r="D390">
        <v>407.51249999999999</v>
      </c>
      <c r="E390">
        <v>496.85982999999999</v>
      </c>
      <c r="F390">
        <v>0</v>
      </c>
    </row>
    <row r="391" spans="1:6" x14ac:dyDescent="0.3">
      <c r="A391" s="51">
        <v>45990.607199074075</v>
      </c>
      <c r="B391">
        <v>80</v>
      </c>
      <c r="C391">
        <v>1.2150000000000001</v>
      </c>
      <c r="D391">
        <v>406.11259999999999</v>
      </c>
      <c r="E391">
        <v>493.10995000000003</v>
      </c>
      <c r="F391">
        <v>0</v>
      </c>
    </row>
    <row r="392" spans="1:6" x14ac:dyDescent="0.3">
      <c r="A392" s="51">
        <v>45990.607314814813</v>
      </c>
      <c r="B392">
        <v>90</v>
      </c>
      <c r="C392">
        <v>1.2112000000000001</v>
      </c>
      <c r="D392">
        <v>404.73759999999999</v>
      </c>
      <c r="E392">
        <v>489.98505</v>
      </c>
      <c r="F392">
        <v>0</v>
      </c>
    </row>
    <row r="393" spans="1:6" x14ac:dyDescent="0.3">
      <c r="A393" s="51">
        <v>45990.607430555552</v>
      </c>
      <c r="B393">
        <v>100</v>
      </c>
      <c r="C393">
        <v>1.2061999999999999</v>
      </c>
      <c r="D393">
        <v>403.48770000000002</v>
      </c>
      <c r="E393">
        <v>486.23516999999998</v>
      </c>
      <c r="F393">
        <v>0</v>
      </c>
    </row>
    <row r="394" spans="1:6" x14ac:dyDescent="0.3">
      <c r="A394" s="51">
        <v>45990.607546296298</v>
      </c>
      <c r="B394">
        <v>110</v>
      </c>
      <c r="C394">
        <v>1.2038</v>
      </c>
      <c r="D394">
        <v>402.36270000000002</v>
      </c>
      <c r="E394">
        <v>483.73523</v>
      </c>
      <c r="F394">
        <v>0</v>
      </c>
    </row>
    <row r="395" spans="1:6" x14ac:dyDescent="0.3">
      <c r="A395" s="51">
        <v>45990.607662037037</v>
      </c>
      <c r="B395">
        <v>120</v>
      </c>
      <c r="C395">
        <v>1.2</v>
      </c>
      <c r="D395">
        <v>401.33769999999998</v>
      </c>
      <c r="E395">
        <v>481.23532</v>
      </c>
      <c r="F395">
        <v>0</v>
      </c>
    </row>
    <row r="396" spans="1:6" x14ac:dyDescent="0.3">
      <c r="A396" s="51">
        <v>45990.607777777775</v>
      </c>
      <c r="B396">
        <v>130</v>
      </c>
      <c r="C396">
        <v>1.1975</v>
      </c>
      <c r="D396">
        <v>400.46280000000002</v>
      </c>
      <c r="E396">
        <v>479.36038000000002</v>
      </c>
      <c r="F396">
        <v>0</v>
      </c>
    </row>
    <row r="397" spans="1:6" x14ac:dyDescent="0.3">
      <c r="A397" s="51">
        <v>45990.607893518521</v>
      </c>
      <c r="B397">
        <v>140</v>
      </c>
      <c r="C397">
        <v>1.1950000000000001</v>
      </c>
      <c r="D397">
        <v>399.51280000000003</v>
      </c>
      <c r="E397">
        <v>477.48541</v>
      </c>
      <c r="F397">
        <v>0</v>
      </c>
    </row>
    <row r="398" spans="1:6" x14ac:dyDescent="0.3">
      <c r="A398" s="51">
        <v>45990.60800925926</v>
      </c>
      <c r="B398">
        <v>150</v>
      </c>
      <c r="C398">
        <v>1.1912</v>
      </c>
      <c r="D398">
        <v>398.71280000000002</v>
      </c>
      <c r="E398">
        <v>474.9855</v>
      </c>
      <c r="F398">
        <v>0</v>
      </c>
    </row>
    <row r="399" spans="1:6" x14ac:dyDescent="0.3">
      <c r="A399" s="51">
        <v>45990.608124999999</v>
      </c>
      <c r="B399">
        <v>160</v>
      </c>
      <c r="C399">
        <v>1.19</v>
      </c>
      <c r="D399">
        <v>397.93779999999998</v>
      </c>
      <c r="E399">
        <v>473.11057</v>
      </c>
      <c r="F399">
        <v>0</v>
      </c>
    </row>
    <row r="400" spans="1:6" x14ac:dyDescent="0.3">
      <c r="A400" s="51">
        <v>45990.608240740738</v>
      </c>
      <c r="B400">
        <v>170</v>
      </c>
      <c r="C400">
        <v>1.1861999999999999</v>
      </c>
      <c r="D400">
        <v>397.08789999999999</v>
      </c>
      <c r="E400">
        <v>471.23563000000001</v>
      </c>
      <c r="F400">
        <v>0</v>
      </c>
    </row>
    <row r="401" spans="1:6" x14ac:dyDescent="0.3">
      <c r="A401" s="51">
        <v>45990.608356481483</v>
      </c>
      <c r="B401">
        <v>180</v>
      </c>
      <c r="C401">
        <v>1.4261999999999999</v>
      </c>
      <c r="D401">
        <v>0</v>
      </c>
      <c r="E401">
        <v>0</v>
      </c>
      <c r="F401">
        <v>1</v>
      </c>
    </row>
    <row r="402" spans="1:6" x14ac:dyDescent="0.3">
      <c r="A402" s="51">
        <v>45990.608472222222</v>
      </c>
      <c r="B402">
        <v>190</v>
      </c>
      <c r="C402">
        <v>1.4412</v>
      </c>
      <c r="D402">
        <v>0</v>
      </c>
      <c r="E402">
        <v>0</v>
      </c>
      <c r="F402">
        <v>1</v>
      </c>
    </row>
    <row r="403" spans="1:6" x14ac:dyDescent="0.3">
      <c r="A403" s="51">
        <v>45990.608587962961</v>
      </c>
      <c r="B403">
        <v>200</v>
      </c>
      <c r="C403">
        <v>1.45</v>
      </c>
      <c r="D403">
        <v>0</v>
      </c>
      <c r="E403">
        <v>0</v>
      </c>
      <c r="F403">
        <v>1</v>
      </c>
    </row>
    <row r="404" spans="1:6" x14ac:dyDescent="0.3">
      <c r="A404" s="51">
        <v>45990.608703703707</v>
      </c>
      <c r="B404">
        <v>210</v>
      </c>
      <c r="C404">
        <v>1.4575</v>
      </c>
      <c r="D404">
        <v>0</v>
      </c>
      <c r="E404">
        <v>0</v>
      </c>
      <c r="F404">
        <v>1</v>
      </c>
    </row>
    <row r="405" spans="1:6" x14ac:dyDescent="0.3">
      <c r="A405" s="51">
        <v>45990.608819444446</v>
      </c>
      <c r="B405">
        <v>220</v>
      </c>
      <c r="C405">
        <v>1.4612000000000001</v>
      </c>
      <c r="D405">
        <v>0</v>
      </c>
      <c r="E405">
        <v>0</v>
      </c>
      <c r="F405">
        <v>1</v>
      </c>
    </row>
    <row r="406" spans="1:6" x14ac:dyDescent="0.3">
      <c r="A406" s="51">
        <v>45990.608935185184</v>
      </c>
      <c r="B406">
        <v>230</v>
      </c>
      <c r="C406">
        <v>1.4661999999999999</v>
      </c>
      <c r="D406">
        <v>0</v>
      </c>
      <c r="E406">
        <v>0</v>
      </c>
      <c r="F406">
        <v>1</v>
      </c>
    </row>
    <row r="407" spans="1:6" x14ac:dyDescent="0.3">
      <c r="A407" s="51">
        <v>45990.609050925923</v>
      </c>
      <c r="B407">
        <v>240</v>
      </c>
      <c r="C407">
        <v>1.2161999999999999</v>
      </c>
      <c r="D407">
        <v>406.71260000000001</v>
      </c>
      <c r="E407">
        <v>494.35991999999999</v>
      </c>
      <c r="F407">
        <v>0</v>
      </c>
    </row>
    <row r="408" spans="1:6" x14ac:dyDescent="0.3">
      <c r="A408" s="51">
        <v>45990.609166666669</v>
      </c>
      <c r="B408">
        <v>250</v>
      </c>
      <c r="C408">
        <v>1.2012</v>
      </c>
      <c r="D408">
        <v>402.11270000000002</v>
      </c>
      <c r="E408">
        <v>483.11025999999998</v>
      </c>
      <c r="F408">
        <v>0</v>
      </c>
    </row>
    <row r="409" spans="1:6" x14ac:dyDescent="0.3">
      <c r="A409" s="51">
        <v>45990.609282407408</v>
      </c>
      <c r="B409">
        <v>260</v>
      </c>
      <c r="C409">
        <v>1.1950000000000001</v>
      </c>
      <c r="D409">
        <v>399.63780000000003</v>
      </c>
      <c r="E409">
        <v>477.48541</v>
      </c>
      <c r="F409">
        <v>0</v>
      </c>
    </row>
    <row r="410" spans="1:6" x14ac:dyDescent="0.3">
      <c r="A410" s="51">
        <v>45990.609398148146</v>
      </c>
      <c r="B410">
        <v>270</v>
      </c>
      <c r="C410">
        <v>1.1888000000000001</v>
      </c>
      <c r="D410">
        <v>397.96280000000002</v>
      </c>
      <c r="E410">
        <v>473.11057</v>
      </c>
      <c r="F410">
        <v>0</v>
      </c>
    </row>
    <row r="411" spans="1:6" x14ac:dyDescent="0.3">
      <c r="A411" s="51">
        <v>45990.609513888892</v>
      </c>
      <c r="B411">
        <v>280</v>
      </c>
      <c r="C411">
        <v>1.1850000000000001</v>
      </c>
      <c r="D411">
        <v>396.58789999999999</v>
      </c>
      <c r="E411">
        <v>469.36068999999998</v>
      </c>
      <c r="F411">
        <v>0</v>
      </c>
    </row>
    <row r="412" spans="1:6" x14ac:dyDescent="0.3">
      <c r="A412" s="51">
        <v>45990.609629629631</v>
      </c>
      <c r="B412">
        <v>290</v>
      </c>
      <c r="C412">
        <v>1.1812</v>
      </c>
      <c r="D412">
        <v>395.43790000000001</v>
      </c>
      <c r="E412">
        <v>466.86075</v>
      </c>
      <c r="F412">
        <v>0</v>
      </c>
    </row>
    <row r="413" spans="1:6" x14ac:dyDescent="0.3">
      <c r="A413" s="51">
        <v>45990.60974537037</v>
      </c>
      <c r="B413">
        <v>300</v>
      </c>
      <c r="C413">
        <v>1.1787000000000001</v>
      </c>
      <c r="D413">
        <v>394.46300000000002</v>
      </c>
      <c r="E413">
        <v>464.98581000000001</v>
      </c>
      <c r="F413">
        <v>0</v>
      </c>
    </row>
    <row r="414" spans="1:6" x14ac:dyDescent="0.3">
      <c r="A414" s="51">
        <v>45990.609861111108</v>
      </c>
      <c r="B414">
        <v>310</v>
      </c>
      <c r="C414">
        <v>1.175</v>
      </c>
      <c r="D414">
        <v>393.56299999999999</v>
      </c>
      <c r="E414">
        <v>463.11086999999998</v>
      </c>
      <c r="F414">
        <v>0</v>
      </c>
    </row>
    <row r="415" spans="1:6" x14ac:dyDescent="0.3">
      <c r="A415" s="51">
        <v>45990.609976851854</v>
      </c>
      <c r="B415">
        <v>320</v>
      </c>
      <c r="C415">
        <v>1.1725000000000001</v>
      </c>
      <c r="D415">
        <v>392.71300000000002</v>
      </c>
      <c r="E415">
        <v>460.61093</v>
      </c>
      <c r="F415">
        <v>0</v>
      </c>
    </row>
    <row r="416" spans="1:6" x14ac:dyDescent="0.3">
      <c r="A416" s="51">
        <v>45990.610092592593</v>
      </c>
      <c r="B416">
        <v>330</v>
      </c>
      <c r="C416">
        <v>1.17</v>
      </c>
      <c r="D416">
        <v>391.91300000000001</v>
      </c>
      <c r="E416">
        <v>458.11102</v>
      </c>
      <c r="F416">
        <v>0</v>
      </c>
    </row>
    <row r="417" spans="1:6" x14ac:dyDescent="0.3">
      <c r="A417" s="51">
        <v>45990.610208333332</v>
      </c>
      <c r="B417">
        <v>340</v>
      </c>
      <c r="C417">
        <v>1.1675</v>
      </c>
      <c r="D417">
        <v>391.13810000000001</v>
      </c>
      <c r="E417">
        <v>456.86104999999998</v>
      </c>
      <c r="F417">
        <v>0</v>
      </c>
    </row>
    <row r="418" spans="1:6" x14ac:dyDescent="0.3">
      <c r="A418" s="51">
        <v>45990.610324074078</v>
      </c>
      <c r="B418">
        <v>350</v>
      </c>
      <c r="C418">
        <v>1.165</v>
      </c>
      <c r="D418">
        <v>390.43810000000002</v>
      </c>
      <c r="E418">
        <v>454.36115000000001</v>
      </c>
      <c r="F418">
        <v>0</v>
      </c>
    </row>
    <row r="419" spans="1:6" x14ac:dyDescent="0.3">
      <c r="A419" s="51">
        <v>45990.610439814816</v>
      </c>
      <c r="B419">
        <v>360</v>
      </c>
      <c r="C419">
        <v>1.1625000000000001</v>
      </c>
      <c r="D419">
        <v>389.73809999999997</v>
      </c>
      <c r="E419">
        <v>452.48621000000003</v>
      </c>
      <c r="F419">
        <v>0</v>
      </c>
    </row>
    <row r="420" spans="1:6" x14ac:dyDescent="0.3">
      <c r="A420" s="51">
        <v>45990.610555555555</v>
      </c>
      <c r="B420">
        <v>370</v>
      </c>
      <c r="C420">
        <v>1.1599999999999999</v>
      </c>
      <c r="D420">
        <v>389.03809999999999</v>
      </c>
      <c r="E420">
        <v>451.86121000000003</v>
      </c>
      <c r="F420">
        <v>0</v>
      </c>
    </row>
    <row r="421" spans="1:6" x14ac:dyDescent="0.3">
      <c r="A421" s="51">
        <v>45990.610671296294</v>
      </c>
      <c r="B421">
        <v>380</v>
      </c>
      <c r="C421">
        <v>1.1587000000000001</v>
      </c>
      <c r="D421">
        <v>388.3381</v>
      </c>
      <c r="E421">
        <v>449.98626999999999</v>
      </c>
      <c r="F421">
        <v>0</v>
      </c>
    </row>
    <row r="422" spans="1:6" x14ac:dyDescent="0.3">
      <c r="A422" s="51">
        <v>45990.61078703704</v>
      </c>
      <c r="B422">
        <v>390</v>
      </c>
      <c r="C422">
        <v>1.1575</v>
      </c>
      <c r="D422">
        <v>387.71319999999997</v>
      </c>
      <c r="E422">
        <v>448.73630000000003</v>
      </c>
      <c r="F422">
        <v>0</v>
      </c>
    </row>
    <row r="423" spans="1:6" x14ac:dyDescent="0.3">
      <c r="A423" s="51">
        <v>45990.610902777778</v>
      </c>
      <c r="B423">
        <v>400</v>
      </c>
      <c r="C423">
        <v>1.155</v>
      </c>
      <c r="D423">
        <v>387.13819999999998</v>
      </c>
      <c r="E423">
        <v>447.48633000000001</v>
      </c>
      <c r="F423">
        <v>0</v>
      </c>
    </row>
    <row r="424" spans="1:6" x14ac:dyDescent="0.3">
      <c r="A424" s="51">
        <v>45990.611018518517</v>
      </c>
      <c r="B424">
        <v>410</v>
      </c>
      <c r="C424">
        <v>1.1536999999999999</v>
      </c>
      <c r="D424">
        <v>386.53820000000002</v>
      </c>
      <c r="E424">
        <v>445.61138999999997</v>
      </c>
      <c r="F424">
        <v>0</v>
      </c>
    </row>
    <row r="425" spans="1:6" x14ac:dyDescent="0.3">
      <c r="A425" s="51">
        <v>45990.611134259256</v>
      </c>
      <c r="B425">
        <v>420</v>
      </c>
      <c r="C425">
        <v>1.3836999999999999</v>
      </c>
      <c r="D425">
        <v>0</v>
      </c>
      <c r="E425">
        <v>0</v>
      </c>
      <c r="F425">
        <v>1</v>
      </c>
    </row>
    <row r="426" spans="1:6" x14ac:dyDescent="0.3">
      <c r="A426" s="51">
        <v>45990.611250000002</v>
      </c>
      <c r="B426">
        <v>430</v>
      </c>
      <c r="C426">
        <v>1.4</v>
      </c>
      <c r="D426">
        <v>0</v>
      </c>
      <c r="E426">
        <v>0</v>
      </c>
      <c r="F426">
        <v>1</v>
      </c>
    </row>
    <row r="427" spans="1:6" x14ac:dyDescent="0.3">
      <c r="A427" s="51">
        <v>45990.61136574074</v>
      </c>
      <c r="B427">
        <v>440</v>
      </c>
      <c r="C427">
        <v>1.4063000000000001</v>
      </c>
      <c r="D427">
        <v>0</v>
      </c>
      <c r="E427">
        <v>0</v>
      </c>
      <c r="F427">
        <v>1</v>
      </c>
    </row>
    <row r="428" spans="1:6" x14ac:dyDescent="0.3">
      <c r="A428" s="51">
        <v>45990.611481481479</v>
      </c>
      <c r="B428">
        <v>450</v>
      </c>
      <c r="C428">
        <v>1.4125000000000001</v>
      </c>
      <c r="D428">
        <v>0</v>
      </c>
      <c r="E428">
        <v>0</v>
      </c>
      <c r="F428">
        <v>1</v>
      </c>
    </row>
    <row r="429" spans="1:6" x14ac:dyDescent="0.3">
      <c r="A429" s="51">
        <v>45990.611597222225</v>
      </c>
      <c r="B429">
        <v>460</v>
      </c>
      <c r="C429">
        <v>1.4175</v>
      </c>
      <c r="D429">
        <v>0</v>
      </c>
      <c r="E429">
        <v>0</v>
      </c>
      <c r="F429">
        <v>1</v>
      </c>
    </row>
    <row r="430" spans="1:6" x14ac:dyDescent="0.3">
      <c r="A430" s="51">
        <v>45990.611712962964</v>
      </c>
      <c r="B430">
        <v>470</v>
      </c>
      <c r="C430">
        <v>1.4212</v>
      </c>
      <c r="D430">
        <v>0</v>
      </c>
      <c r="E430">
        <v>0</v>
      </c>
      <c r="F430">
        <v>1</v>
      </c>
    </row>
    <row r="431" spans="1:6" x14ac:dyDescent="0.3">
      <c r="A431" s="51">
        <v>45990.611828703702</v>
      </c>
      <c r="B431">
        <v>480</v>
      </c>
      <c r="C431">
        <v>1.1837</v>
      </c>
      <c r="D431">
        <v>396.6379</v>
      </c>
      <c r="E431">
        <v>469.36068999999998</v>
      </c>
      <c r="F431">
        <v>0</v>
      </c>
    </row>
    <row r="432" spans="1:6" x14ac:dyDescent="0.3">
      <c r="A432" s="51">
        <v>45990.611944444441</v>
      </c>
      <c r="B432">
        <v>490</v>
      </c>
      <c r="C432">
        <v>1.17</v>
      </c>
      <c r="D432">
        <v>392.238</v>
      </c>
      <c r="E432">
        <v>458.73599000000002</v>
      </c>
      <c r="F432">
        <v>0</v>
      </c>
    </row>
    <row r="433" spans="1:6" x14ac:dyDescent="0.3">
      <c r="A433" s="51">
        <v>45990.612060185187</v>
      </c>
      <c r="B433">
        <v>500</v>
      </c>
      <c r="C433">
        <v>1.1637</v>
      </c>
      <c r="D433">
        <v>389.88810000000001</v>
      </c>
      <c r="E433">
        <v>453.73615000000001</v>
      </c>
      <c r="F433">
        <v>0</v>
      </c>
    </row>
    <row r="434" spans="1:6" x14ac:dyDescent="0.3">
      <c r="A434" s="51">
        <v>45990.612175925926</v>
      </c>
      <c r="B434">
        <v>510</v>
      </c>
      <c r="C434">
        <v>1.1587000000000001</v>
      </c>
      <c r="D434">
        <v>388.28809999999999</v>
      </c>
      <c r="E434">
        <v>449.36130000000003</v>
      </c>
      <c r="F434">
        <v>0</v>
      </c>
    </row>
    <row r="435" spans="1:6" x14ac:dyDescent="0.3">
      <c r="A435" s="51">
        <v>45990.612291666665</v>
      </c>
      <c r="B435">
        <v>520</v>
      </c>
      <c r="C435">
        <v>1.1536999999999999</v>
      </c>
      <c r="D435">
        <v>387.01319999999998</v>
      </c>
      <c r="E435">
        <v>446.23638999999997</v>
      </c>
      <c r="F435">
        <v>0</v>
      </c>
    </row>
    <row r="436" spans="1:6" x14ac:dyDescent="0.3">
      <c r="A436" s="51">
        <v>45990.612407407411</v>
      </c>
      <c r="B436">
        <v>530</v>
      </c>
      <c r="C436">
        <v>1.1513</v>
      </c>
      <c r="D436">
        <v>385.98820000000001</v>
      </c>
      <c r="E436">
        <v>444.36144999999999</v>
      </c>
      <c r="F436">
        <v>0</v>
      </c>
    </row>
    <row r="437" spans="1:6" x14ac:dyDescent="0.3">
      <c r="A437" s="51">
        <v>45990.612523148149</v>
      </c>
      <c r="B437">
        <v>540</v>
      </c>
      <c r="C437">
        <v>1.1487000000000001</v>
      </c>
      <c r="D437">
        <v>385.06319999999999</v>
      </c>
      <c r="E437">
        <v>442.48651000000001</v>
      </c>
      <c r="F437">
        <v>0</v>
      </c>
    </row>
    <row r="438" spans="1:6" x14ac:dyDescent="0.3">
      <c r="A438" s="51">
        <v>45990.612638888888</v>
      </c>
      <c r="B438">
        <v>550</v>
      </c>
      <c r="C438">
        <v>1.1463000000000001</v>
      </c>
      <c r="D438">
        <v>384.23829999999998</v>
      </c>
      <c r="E438">
        <v>440.61153999999999</v>
      </c>
      <c r="F438">
        <v>0</v>
      </c>
    </row>
    <row r="439" spans="1:6" x14ac:dyDescent="0.3">
      <c r="A439" s="51">
        <v>45990.612754629627</v>
      </c>
      <c r="B439">
        <v>560</v>
      </c>
      <c r="C439">
        <v>1.1436999999999999</v>
      </c>
      <c r="D439">
        <v>383.48829999999998</v>
      </c>
      <c r="E439">
        <v>438.11162999999999</v>
      </c>
      <c r="F439">
        <v>0</v>
      </c>
    </row>
    <row r="440" spans="1:6" x14ac:dyDescent="0.3">
      <c r="A440" s="51">
        <v>45990.612870370373</v>
      </c>
      <c r="B440">
        <v>570</v>
      </c>
      <c r="C440">
        <v>1.1413</v>
      </c>
      <c r="D440">
        <v>382.78829999999999</v>
      </c>
      <c r="E440">
        <v>437.48662999999999</v>
      </c>
      <c r="F440">
        <v>0</v>
      </c>
    </row>
    <row r="441" spans="1:6" x14ac:dyDescent="0.3">
      <c r="A441" s="51">
        <v>45990.612986111111</v>
      </c>
      <c r="B441">
        <v>580</v>
      </c>
      <c r="C441">
        <v>1.1387</v>
      </c>
      <c r="D441">
        <v>382.13830000000002</v>
      </c>
      <c r="E441">
        <v>434.98671999999999</v>
      </c>
      <c r="F441">
        <v>0</v>
      </c>
    </row>
    <row r="442" spans="1:6" x14ac:dyDescent="0.3">
      <c r="A442" s="51">
        <v>45990.61310185185</v>
      </c>
      <c r="B442">
        <v>590</v>
      </c>
      <c r="C442">
        <v>1.1375</v>
      </c>
      <c r="D442">
        <v>381.51330000000002</v>
      </c>
      <c r="E442">
        <v>434.36176</v>
      </c>
      <c r="F442">
        <v>0</v>
      </c>
    </row>
    <row r="443" spans="1:6" x14ac:dyDescent="0.3">
      <c r="A443" s="51">
        <v>45990.613217592596</v>
      </c>
      <c r="B443">
        <v>600</v>
      </c>
      <c r="C443">
        <v>1.1363000000000001</v>
      </c>
      <c r="D443">
        <v>380.9384</v>
      </c>
      <c r="E443">
        <v>432.48682000000002</v>
      </c>
      <c r="F443">
        <v>0</v>
      </c>
    </row>
    <row r="444" spans="1:6" x14ac:dyDescent="0.3">
      <c r="A444" s="51">
        <v>45990.613333333335</v>
      </c>
      <c r="B444">
        <v>610</v>
      </c>
      <c r="C444">
        <v>1.1336999999999999</v>
      </c>
      <c r="D444">
        <v>380.33839999999998</v>
      </c>
      <c r="E444">
        <v>431.23685</v>
      </c>
      <c r="F444">
        <v>0</v>
      </c>
    </row>
    <row r="445" spans="1:6" x14ac:dyDescent="0.3">
      <c r="A445" s="51">
        <v>45990.613449074073</v>
      </c>
      <c r="B445">
        <v>620</v>
      </c>
      <c r="C445">
        <v>1.1325000000000001</v>
      </c>
      <c r="D445">
        <v>379.78840000000002</v>
      </c>
      <c r="E445">
        <v>429.98687999999999</v>
      </c>
      <c r="F445">
        <v>0</v>
      </c>
    </row>
    <row r="446" spans="1:6" x14ac:dyDescent="0.3">
      <c r="A446" s="51">
        <v>45990.613564814812</v>
      </c>
      <c r="B446">
        <v>630</v>
      </c>
      <c r="C446">
        <v>1.1299999999999999</v>
      </c>
      <c r="D446">
        <v>379.28840000000002</v>
      </c>
      <c r="E446">
        <v>429.36191000000002</v>
      </c>
      <c r="F446">
        <v>0</v>
      </c>
    </row>
    <row r="447" spans="1:6" x14ac:dyDescent="0.3">
      <c r="A447" s="51">
        <v>45990.613680555558</v>
      </c>
      <c r="B447">
        <v>640</v>
      </c>
      <c r="C447">
        <v>1.1287</v>
      </c>
      <c r="D447">
        <v>378.78840000000002</v>
      </c>
      <c r="E447">
        <v>426.86196999999999</v>
      </c>
      <c r="F447">
        <v>0</v>
      </c>
    </row>
    <row r="448" spans="1:6" x14ac:dyDescent="0.3">
      <c r="A448" s="51">
        <v>45990.613796296297</v>
      </c>
      <c r="B448">
        <v>650</v>
      </c>
      <c r="C448">
        <v>1.1274999999999999</v>
      </c>
      <c r="D448">
        <v>378.26350000000002</v>
      </c>
      <c r="E448">
        <v>426.23700000000002</v>
      </c>
      <c r="F448">
        <v>0</v>
      </c>
    </row>
    <row r="449" spans="1:6" x14ac:dyDescent="0.3">
      <c r="A449" s="51">
        <v>45990.613912037035</v>
      </c>
      <c r="B449">
        <v>660</v>
      </c>
      <c r="C449">
        <v>1.355</v>
      </c>
      <c r="D449">
        <v>0</v>
      </c>
      <c r="E449">
        <v>0</v>
      </c>
      <c r="F449">
        <v>1</v>
      </c>
    </row>
    <row r="450" spans="1:6" x14ac:dyDescent="0.3">
      <c r="A450" s="51">
        <v>45990.614027777781</v>
      </c>
      <c r="B450">
        <v>670</v>
      </c>
      <c r="C450">
        <v>1.37</v>
      </c>
      <c r="D450">
        <v>0</v>
      </c>
      <c r="E450">
        <v>0</v>
      </c>
      <c r="F450">
        <v>1</v>
      </c>
    </row>
    <row r="451" spans="1:6" x14ac:dyDescent="0.3">
      <c r="A451" s="51">
        <v>45990.61414351852</v>
      </c>
      <c r="B451">
        <v>680</v>
      </c>
      <c r="C451">
        <v>1.3787</v>
      </c>
      <c r="D451">
        <v>0</v>
      </c>
      <c r="E451">
        <v>0</v>
      </c>
      <c r="F451">
        <v>1</v>
      </c>
    </row>
    <row r="452" spans="1:6" x14ac:dyDescent="0.3">
      <c r="A452" s="51">
        <v>45990.614259259259</v>
      </c>
      <c r="B452">
        <v>690</v>
      </c>
      <c r="C452">
        <v>1.385</v>
      </c>
      <c r="D452">
        <v>0</v>
      </c>
      <c r="E452">
        <v>0</v>
      </c>
      <c r="F452">
        <v>1</v>
      </c>
    </row>
    <row r="453" spans="1:6" x14ac:dyDescent="0.3">
      <c r="A453" s="51">
        <v>45990.614374999997</v>
      </c>
      <c r="B453">
        <v>700</v>
      </c>
      <c r="C453">
        <v>1.3887</v>
      </c>
      <c r="D453">
        <v>0</v>
      </c>
      <c r="E453">
        <v>0</v>
      </c>
      <c r="F453">
        <v>1</v>
      </c>
    </row>
    <row r="454" spans="1:6" x14ac:dyDescent="0.3">
      <c r="A454" s="51">
        <v>45990.614490740743</v>
      </c>
      <c r="B454">
        <v>710</v>
      </c>
      <c r="C454">
        <v>1.3936999999999999</v>
      </c>
      <c r="D454">
        <v>0</v>
      </c>
      <c r="E454">
        <v>0</v>
      </c>
      <c r="F454">
        <v>1</v>
      </c>
    </row>
    <row r="455" spans="1:6" x14ac:dyDescent="0.3">
      <c r="A455" s="51">
        <v>45990.614606481482</v>
      </c>
      <c r="B455">
        <v>720</v>
      </c>
      <c r="C455">
        <v>1.1599999999999999</v>
      </c>
      <c r="D455">
        <v>388.56310000000002</v>
      </c>
      <c r="E455">
        <v>450.61124000000001</v>
      </c>
      <c r="F455">
        <v>0</v>
      </c>
    </row>
    <row r="456" spans="1:6" x14ac:dyDescent="0.3">
      <c r="A456" s="51">
        <v>45990.614722222221</v>
      </c>
      <c r="B456">
        <v>730</v>
      </c>
      <c r="C456">
        <v>1.1463000000000001</v>
      </c>
      <c r="D456">
        <v>384.3383</v>
      </c>
      <c r="E456">
        <v>440.61153999999999</v>
      </c>
      <c r="F456">
        <v>0</v>
      </c>
    </row>
    <row r="457" spans="1:6" x14ac:dyDescent="0.3">
      <c r="A457" s="51">
        <v>45990.614837962959</v>
      </c>
      <c r="B457">
        <v>740</v>
      </c>
      <c r="C457">
        <v>1.1387</v>
      </c>
      <c r="D457">
        <v>382.06330000000003</v>
      </c>
      <c r="E457">
        <v>434.98671999999999</v>
      </c>
      <c r="F457">
        <v>0</v>
      </c>
    </row>
    <row r="458" spans="1:6" x14ac:dyDescent="0.3">
      <c r="A458" s="51">
        <v>45990.614953703705</v>
      </c>
      <c r="B458">
        <v>750</v>
      </c>
      <c r="C458">
        <v>1.135</v>
      </c>
      <c r="D458">
        <v>380.5634</v>
      </c>
      <c r="E458">
        <v>431.86182000000002</v>
      </c>
      <c r="F458">
        <v>0</v>
      </c>
    </row>
    <row r="459" spans="1:6" x14ac:dyDescent="0.3">
      <c r="A459" s="51">
        <v>45990.615069444444</v>
      </c>
      <c r="B459">
        <v>760</v>
      </c>
      <c r="C459">
        <v>1.1299999999999999</v>
      </c>
      <c r="D459">
        <v>379.36340000000001</v>
      </c>
      <c r="E459">
        <v>429.36191000000002</v>
      </c>
      <c r="F459">
        <v>0</v>
      </c>
    </row>
    <row r="460" spans="1:6" x14ac:dyDescent="0.3">
      <c r="A460" s="51">
        <v>45990.615185185183</v>
      </c>
      <c r="B460">
        <v>770</v>
      </c>
      <c r="C460">
        <v>1.1274999999999999</v>
      </c>
      <c r="D460">
        <v>378.36340000000001</v>
      </c>
      <c r="E460">
        <v>426.86196999999999</v>
      </c>
      <c r="F460">
        <v>0</v>
      </c>
    </row>
    <row r="461" spans="1:6" x14ac:dyDescent="0.3">
      <c r="A461" s="51">
        <v>45990.615300925929</v>
      </c>
      <c r="B461">
        <v>780</v>
      </c>
      <c r="C461">
        <v>1.125</v>
      </c>
      <c r="D461">
        <v>377.48849999999999</v>
      </c>
      <c r="E461">
        <v>424.36205999999999</v>
      </c>
      <c r="F461">
        <v>0</v>
      </c>
    </row>
    <row r="462" spans="1:6" x14ac:dyDescent="0.3">
      <c r="A462" s="51">
        <v>45990.615416666667</v>
      </c>
      <c r="B462">
        <v>790</v>
      </c>
      <c r="C462">
        <v>1.1225000000000001</v>
      </c>
      <c r="D462">
        <v>376.76350000000002</v>
      </c>
      <c r="E462">
        <v>423.11209000000002</v>
      </c>
      <c r="F462">
        <v>0</v>
      </c>
    </row>
    <row r="463" spans="1:6" x14ac:dyDescent="0.3">
      <c r="A463" s="51">
        <v>45990.615532407406</v>
      </c>
      <c r="B463">
        <v>800</v>
      </c>
      <c r="C463">
        <v>1.1200000000000001</v>
      </c>
      <c r="D463">
        <v>376.08850000000001</v>
      </c>
      <c r="E463">
        <v>420.61214999999999</v>
      </c>
      <c r="F463">
        <v>0</v>
      </c>
    </row>
    <row r="464" spans="1:6" x14ac:dyDescent="0.3">
      <c r="A464" s="51">
        <v>45990.615648148145</v>
      </c>
      <c r="B464">
        <v>810</v>
      </c>
      <c r="C464">
        <v>1.1187</v>
      </c>
      <c r="D464">
        <v>375.46350000000001</v>
      </c>
      <c r="E464">
        <v>419.98718000000002</v>
      </c>
      <c r="F464">
        <v>0</v>
      </c>
    </row>
    <row r="465" spans="1:6" x14ac:dyDescent="0.3">
      <c r="A465" s="51">
        <v>45990.61577546296</v>
      </c>
      <c r="B465">
        <v>820</v>
      </c>
      <c r="C465">
        <v>1.1174999999999999</v>
      </c>
      <c r="D465">
        <v>374.86360000000002</v>
      </c>
      <c r="E465">
        <v>418.73721</v>
      </c>
      <c r="F465">
        <v>0</v>
      </c>
    </row>
    <row r="466" spans="1:6" x14ac:dyDescent="0.3">
      <c r="A466" s="51">
        <v>45990.615891203706</v>
      </c>
      <c r="B466">
        <v>830</v>
      </c>
      <c r="C466">
        <v>1.1162000000000001</v>
      </c>
      <c r="D466">
        <v>374.31360000000001</v>
      </c>
      <c r="E466">
        <v>417.48723999999999</v>
      </c>
      <c r="F466">
        <v>0</v>
      </c>
    </row>
    <row r="467" spans="1:6" x14ac:dyDescent="0.3">
      <c r="A467" s="51">
        <v>45990.616006944445</v>
      </c>
      <c r="B467">
        <v>840</v>
      </c>
      <c r="C467">
        <v>1.1136999999999999</v>
      </c>
      <c r="D467">
        <v>373.7636</v>
      </c>
      <c r="E467">
        <v>416.2373</v>
      </c>
      <c r="F467">
        <v>0</v>
      </c>
    </row>
    <row r="468" spans="1:6" x14ac:dyDescent="0.3">
      <c r="A468" s="51">
        <v>45990.616122685184</v>
      </c>
      <c r="B468">
        <v>850</v>
      </c>
      <c r="C468">
        <v>1.1125</v>
      </c>
      <c r="D468">
        <v>373.23860000000002</v>
      </c>
      <c r="E468">
        <v>414.98734000000002</v>
      </c>
      <c r="F468">
        <v>0</v>
      </c>
    </row>
    <row r="469" spans="1:6" x14ac:dyDescent="0.3">
      <c r="A469" s="51">
        <v>45990.616238425922</v>
      </c>
      <c r="B469">
        <v>860</v>
      </c>
      <c r="C469">
        <v>1.1112</v>
      </c>
      <c r="D469">
        <v>372.71359999999999</v>
      </c>
      <c r="E469">
        <v>413.73737</v>
      </c>
      <c r="F469">
        <v>0</v>
      </c>
    </row>
    <row r="470" spans="1:6" x14ac:dyDescent="0.3">
      <c r="A470" s="51">
        <v>45990.616354166668</v>
      </c>
      <c r="B470">
        <v>870</v>
      </c>
      <c r="C470">
        <v>1.1100000000000001</v>
      </c>
      <c r="D470">
        <v>372.21359999999999</v>
      </c>
      <c r="E470">
        <v>412.48743000000002</v>
      </c>
      <c r="F470">
        <v>0</v>
      </c>
    </row>
    <row r="471" spans="1:6" x14ac:dyDescent="0.3">
      <c r="A471" s="51">
        <v>45990.616469907407</v>
      </c>
      <c r="B471">
        <v>880</v>
      </c>
      <c r="C471">
        <v>1.1074999999999999</v>
      </c>
      <c r="D471">
        <v>371.78859999999997</v>
      </c>
      <c r="E471">
        <v>411.86243000000002</v>
      </c>
      <c r="F471">
        <v>0</v>
      </c>
    </row>
    <row r="472" spans="1:6" x14ac:dyDescent="0.3">
      <c r="A472" s="51">
        <v>45990.616585648146</v>
      </c>
      <c r="B472">
        <v>890</v>
      </c>
      <c r="C472">
        <v>1.1062000000000001</v>
      </c>
      <c r="D472">
        <v>371.33870000000002</v>
      </c>
      <c r="E472">
        <v>410.61246</v>
      </c>
      <c r="F472">
        <v>0</v>
      </c>
    </row>
    <row r="473" spans="1:6" x14ac:dyDescent="0.3">
      <c r="A473" s="51">
        <v>45990.616701388892</v>
      </c>
      <c r="B473">
        <v>900</v>
      </c>
      <c r="C473">
        <v>1.335</v>
      </c>
      <c r="D473">
        <v>0</v>
      </c>
      <c r="E473">
        <v>0</v>
      </c>
      <c r="F473">
        <v>1</v>
      </c>
    </row>
    <row r="474" spans="1:6" x14ac:dyDescent="0.3">
      <c r="A474" s="51">
        <v>45990.61681712963</v>
      </c>
      <c r="B474">
        <v>910</v>
      </c>
      <c r="C474">
        <v>1.35</v>
      </c>
      <c r="D474">
        <v>0</v>
      </c>
      <c r="E474">
        <v>0</v>
      </c>
      <c r="F474">
        <v>1</v>
      </c>
    </row>
    <row r="475" spans="1:6" x14ac:dyDescent="0.3">
      <c r="A475" s="51">
        <v>45990.616932870369</v>
      </c>
      <c r="B475">
        <v>920</v>
      </c>
      <c r="C475">
        <v>1.3587</v>
      </c>
      <c r="D475">
        <v>0</v>
      </c>
      <c r="E475">
        <v>0</v>
      </c>
      <c r="F475">
        <v>1</v>
      </c>
    </row>
    <row r="476" spans="1:6" x14ac:dyDescent="0.3">
      <c r="A476" s="51">
        <v>45990.617048611108</v>
      </c>
      <c r="B476">
        <v>930</v>
      </c>
      <c r="C476">
        <v>1.3636999999999999</v>
      </c>
      <c r="D476">
        <v>0</v>
      </c>
      <c r="E476">
        <v>0</v>
      </c>
      <c r="F476">
        <v>1</v>
      </c>
    </row>
    <row r="477" spans="1:6" x14ac:dyDescent="0.3">
      <c r="A477" s="51">
        <v>45990.617164351854</v>
      </c>
      <c r="B477">
        <v>940</v>
      </c>
      <c r="C477">
        <v>1.3687</v>
      </c>
      <c r="D477">
        <v>0</v>
      </c>
      <c r="E477">
        <v>0</v>
      </c>
      <c r="F477">
        <v>1</v>
      </c>
    </row>
    <row r="478" spans="1:6" x14ac:dyDescent="0.3">
      <c r="A478" s="51">
        <v>45990.617280092592</v>
      </c>
      <c r="B478">
        <v>950</v>
      </c>
      <c r="C478">
        <v>1.3725000000000001</v>
      </c>
      <c r="D478">
        <v>0</v>
      </c>
      <c r="E478">
        <v>0</v>
      </c>
      <c r="F478">
        <v>1</v>
      </c>
    </row>
    <row r="479" spans="1:6" x14ac:dyDescent="0.3">
      <c r="A479" s="51">
        <v>45990.617395833331</v>
      </c>
      <c r="B479">
        <v>960</v>
      </c>
      <c r="C479">
        <v>1.1387</v>
      </c>
      <c r="D479">
        <v>381.66329999999999</v>
      </c>
      <c r="E479">
        <v>434.36176</v>
      </c>
      <c r="F479">
        <v>0</v>
      </c>
    </row>
    <row r="480" spans="1:6" x14ac:dyDescent="0.3">
      <c r="A480" s="51">
        <v>45990.617511574077</v>
      </c>
      <c r="B480">
        <v>970</v>
      </c>
      <c r="C480">
        <v>1.125</v>
      </c>
      <c r="D480">
        <v>377.5385</v>
      </c>
      <c r="E480">
        <v>424.98703</v>
      </c>
      <c r="F480">
        <v>0</v>
      </c>
    </row>
    <row r="481" spans="1:6" x14ac:dyDescent="0.3">
      <c r="A481" s="51">
        <v>45990.617627314816</v>
      </c>
      <c r="B481">
        <v>980</v>
      </c>
      <c r="C481">
        <v>1.1187</v>
      </c>
      <c r="D481">
        <v>375.36349999999999</v>
      </c>
      <c r="E481">
        <v>419.98718000000002</v>
      </c>
      <c r="F481">
        <v>0</v>
      </c>
    </row>
    <row r="482" spans="1:6" x14ac:dyDescent="0.3">
      <c r="A482" s="51">
        <v>45990.617743055554</v>
      </c>
      <c r="B482">
        <v>990</v>
      </c>
      <c r="C482">
        <v>1.1136999999999999</v>
      </c>
      <c r="D482">
        <v>373.83859999999999</v>
      </c>
      <c r="E482">
        <v>416.86227000000002</v>
      </c>
      <c r="F482">
        <v>0</v>
      </c>
    </row>
    <row r="483" spans="1:6" x14ac:dyDescent="0.3">
      <c r="A483" s="51">
        <v>45990.617858796293</v>
      </c>
      <c r="B483">
        <v>1000</v>
      </c>
      <c r="C483">
        <v>1.1112</v>
      </c>
      <c r="D483">
        <v>372.73860000000002</v>
      </c>
      <c r="E483">
        <v>413.73737</v>
      </c>
      <c r="F483">
        <v>0</v>
      </c>
    </row>
    <row r="484" spans="1:6" x14ac:dyDescent="0.3">
      <c r="A484" s="51">
        <v>45990.617974537039</v>
      </c>
      <c r="B484">
        <v>1010</v>
      </c>
      <c r="C484">
        <v>1.1087</v>
      </c>
      <c r="D484">
        <v>371.86360000000002</v>
      </c>
      <c r="E484">
        <v>412.48743000000002</v>
      </c>
      <c r="F484">
        <v>0</v>
      </c>
    </row>
    <row r="485" spans="1:6" x14ac:dyDescent="0.3">
      <c r="A485" s="51">
        <v>45990.618090277778</v>
      </c>
      <c r="B485">
        <v>1020</v>
      </c>
      <c r="C485">
        <v>1.1062000000000001</v>
      </c>
      <c r="D485">
        <v>371.11369999999999</v>
      </c>
      <c r="E485">
        <v>409.98748999999998</v>
      </c>
      <c r="F485">
        <v>0</v>
      </c>
    </row>
    <row r="486" spans="1:6" x14ac:dyDescent="0.3">
      <c r="A486" s="51">
        <v>45990.618206018517</v>
      </c>
      <c r="B486">
        <v>1030</v>
      </c>
      <c r="C486">
        <v>1.1036999999999999</v>
      </c>
      <c r="D486">
        <v>370.43869999999998</v>
      </c>
      <c r="E486">
        <v>408.73752000000002</v>
      </c>
      <c r="F486">
        <v>0</v>
      </c>
    </row>
    <row r="487" spans="1:6" x14ac:dyDescent="0.3">
      <c r="A487" s="51">
        <v>45990.618321759262</v>
      </c>
      <c r="B487">
        <v>1040</v>
      </c>
      <c r="C487">
        <v>1.1012</v>
      </c>
      <c r="D487">
        <v>369.83870000000002</v>
      </c>
      <c r="E487">
        <v>407.48755</v>
      </c>
      <c r="F487">
        <v>0</v>
      </c>
    </row>
    <row r="488" spans="1:6" x14ac:dyDescent="0.3">
      <c r="A488" s="51">
        <v>45990.618437500001</v>
      </c>
      <c r="B488">
        <v>1050</v>
      </c>
      <c r="C488">
        <v>1.1000000000000001</v>
      </c>
      <c r="D488">
        <v>369.28870000000001</v>
      </c>
      <c r="E488">
        <v>406.23761000000002</v>
      </c>
      <c r="F488">
        <v>0</v>
      </c>
    </row>
    <row r="489" spans="1:6" x14ac:dyDescent="0.3">
      <c r="A489" s="51">
        <v>45990.61855324074</v>
      </c>
      <c r="B489">
        <v>1060</v>
      </c>
      <c r="C489">
        <v>1.0987</v>
      </c>
      <c r="D489">
        <v>368.76369999999997</v>
      </c>
      <c r="E489">
        <v>405.61261000000002</v>
      </c>
      <c r="F489">
        <v>0</v>
      </c>
    </row>
    <row r="490" spans="1:6" x14ac:dyDescent="0.3">
      <c r="A490" s="51">
        <v>45990.618668981479</v>
      </c>
      <c r="B490">
        <v>1070</v>
      </c>
      <c r="C490">
        <v>1.0974999999999999</v>
      </c>
      <c r="D490">
        <v>368.28879999999998</v>
      </c>
      <c r="E490">
        <v>404.36266999999998</v>
      </c>
      <c r="F490">
        <v>0</v>
      </c>
    </row>
    <row r="491" spans="1:6" x14ac:dyDescent="0.3">
      <c r="A491" s="51">
        <v>45990.618784722225</v>
      </c>
      <c r="B491">
        <v>1080</v>
      </c>
      <c r="C491">
        <v>1.0962000000000001</v>
      </c>
      <c r="D491">
        <v>367.86380000000003</v>
      </c>
      <c r="E491">
        <v>403.11270000000002</v>
      </c>
      <c r="F491">
        <v>0</v>
      </c>
    </row>
    <row r="492" spans="1:6" x14ac:dyDescent="0.3">
      <c r="A492" s="51">
        <v>45990.618900462963</v>
      </c>
      <c r="B492">
        <v>1090</v>
      </c>
      <c r="C492">
        <v>1.0938000000000001</v>
      </c>
      <c r="D492">
        <v>367.43880000000001</v>
      </c>
      <c r="E492">
        <v>401.86273</v>
      </c>
      <c r="F492">
        <v>0</v>
      </c>
    </row>
    <row r="493" spans="1:6" x14ac:dyDescent="0.3">
      <c r="A493" s="51">
        <v>45990.619016203702</v>
      </c>
      <c r="B493">
        <v>1100</v>
      </c>
      <c r="C493">
        <v>1.0938000000000001</v>
      </c>
      <c r="D493">
        <v>366.98880000000003</v>
      </c>
      <c r="E493">
        <v>401.23775999999998</v>
      </c>
      <c r="F493">
        <v>0</v>
      </c>
    </row>
    <row r="494" spans="1:6" x14ac:dyDescent="0.3">
      <c r="A494" s="51">
        <v>45990.619131944448</v>
      </c>
      <c r="B494">
        <v>1110</v>
      </c>
      <c r="C494">
        <v>1.0925</v>
      </c>
      <c r="D494">
        <v>366.61380000000003</v>
      </c>
      <c r="E494">
        <v>400.61275999999998</v>
      </c>
      <c r="F494">
        <v>0</v>
      </c>
    </row>
    <row r="495" spans="1:6" x14ac:dyDescent="0.3">
      <c r="A495" s="51">
        <v>45990.619247685187</v>
      </c>
      <c r="B495">
        <v>1120</v>
      </c>
      <c r="C495">
        <v>1.0900000000000001</v>
      </c>
      <c r="D495">
        <v>366.2638</v>
      </c>
      <c r="E495">
        <v>399.36282</v>
      </c>
      <c r="F495">
        <v>0</v>
      </c>
    </row>
    <row r="496" spans="1:6" x14ac:dyDescent="0.3">
      <c r="A496" s="51">
        <v>45990.619363425925</v>
      </c>
      <c r="B496">
        <v>1130</v>
      </c>
      <c r="C496">
        <v>1.0900000000000001</v>
      </c>
      <c r="D496">
        <v>365.93880000000001</v>
      </c>
      <c r="E496">
        <v>398.11284999999998</v>
      </c>
      <c r="F496">
        <v>0</v>
      </c>
    </row>
    <row r="497" spans="1:6" x14ac:dyDescent="0.3">
      <c r="A497" s="51">
        <v>45990.619479166664</v>
      </c>
      <c r="B497">
        <v>1140</v>
      </c>
      <c r="C497">
        <v>1.32</v>
      </c>
      <c r="D497">
        <v>0</v>
      </c>
      <c r="E497">
        <v>0</v>
      </c>
      <c r="F497">
        <v>1</v>
      </c>
    </row>
    <row r="498" spans="1:6" x14ac:dyDescent="0.3">
      <c r="A498" s="51">
        <v>45990.61959490741</v>
      </c>
      <c r="B498">
        <v>1150</v>
      </c>
      <c r="C498">
        <v>1.3338000000000001</v>
      </c>
      <c r="D498">
        <v>0</v>
      </c>
      <c r="E498">
        <v>0</v>
      </c>
      <c r="F498">
        <v>1</v>
      </c>
    </row>
    <row r="499" spans="1:6" x14ac:dyDescent="0.3">
      <c r="A499" s="51">
        <v>45990.619710648149</v>
      </c>
      <c r="B499">
        <v>1160</v>
      </c>
      <c r="C499">
        <v>1.3425</v>
      </c>
      <c r="D499">
        <v>0</v>
      </c>
      <c r="E499">
        <v>0</v>
      </c>
      <c r="F499">
        <v>1</v>
      </c>
    </row>
    <row r="500" spans="1:6" x14ac:dyDescent="0.3">
      <c r="A500" s="51">
        <v>45990.619826388887</v>
      </c>
      <c r="B500">
        <v>1170</v>
      </c>
      <c r="C500">
        <v>1.3487</v>
      </c>
      <c r="D500">
        <v>0</v>
      </c>
      <c r="E500">
        <v>0</v>
      </c>
      <c r="F500">
        <v>1</v>
      </c>
    </row>
    <row r="501" spans="1:6" x14ac:dyDescent="0.3">
      <c r="A501" s="51">
        <v>45990.619942129626</v>
      </c>
      <c r="B501">
        <v>1180</v>
      </c>
      <c r="C501">
        <v>1.3536999999999999</v>
      </c>
      <c r="D501">
        <v>0</v>
      </c>
      <c r="E501">
        <v>0</v>
      </c>
      <c r="F501">
        <v>1</v>
      </c>
    </row>
    <row r="502" spans="1:6" x14ac:dyDescent="0.3">
      <c r="A502" s="51">
        <v>45990.620057870372</v>
      </c>
      <c r="B502">
        <v>1190</v>
      </c>
      <c r="C502">
        <v>1.3587</v>
      </c>
      <c r="D502">
        <v>0</v>
      </c>
      <c r="E502">
        <v>0</v>
      </c>
      <c r="F502">
        <v>1</v>
      </c>
    </row>
    <row r="503" spans="1:6" x14ac:dyDescent="0.3">
      <c r="A503" s="51">
        <v>45990.620173611111</v>
      </c>
      <c r="B503">
        <v>1200</v>
      </c>
      <c r="C503">
        <v>1.1213</v>
      </c>
      <c r="D503">
        <v>376.51350000000002</v>
      </c>
      <c r="E503">
        <v>421.86212</v>
      </c>
      <c r="F503">
        <v>0</v>
      </c>
    </row>
    <row r="504" spans="1:6" x14ac:dyDescent="0.3">
      <c r="A504" s="51">
        <v>45990.620289351849</v>
      </c>
      <c r="B504">
        <v>1210</v>
      </c>
      <c r="C504">
        <v>1.1100000000000001</v>
      </c>
      <c r="D504">
        <v>372.43860000000001</v>
      </c>
      <c r="E504">
        <v>413.11239999999998</v>
      </c>
      <c r="F504">
        <v>0</v>
      </c>
    </row>
    <row r="505" spans="1:6" x14ac:dyDescent="0.3">
      <c r="A505" s="51">
        <v>45990.620405092595</v>
      </c>
      <c r="B505">
        <v>1220</v>
      </c>
      <c r="C505">
        <v>1.1036999999999999</v>
      </c>
      <c r="D505">
        <v>370.31369999999998</v>
      </c>
      <c r="E505">
        <v>408.73752000000002</v>
      </c>
      <c r="F505">
        <v>0</v>
      </c>
    </row>
    <row r="506" spans="1:6" x14ac:dyDescent="0.3">
      <c r="A506" s="51">
        <v>45990.620520833334</v>
      </c>
      <c r="B506">
        <v>1230</v>
      </c>
      <c r="C506">
        <v>1.0987</v>
      </c>
      <c r="D506">
        <v>368.86369999999999</v>
      </c>
      <c r="E506">
        <v>405.61261000000002</v>
      </c>
      <c r="F506">
        <v>0</v>
      </c>
    </row>
    <row r="507" spans="1:6" x14ac:dyDescent="0.3">
      <c r="A507" s="51">
        <v>45990.620636574073</v>
      </c>
      <c r="B507">
        <v>1240</v>
      </c>
      <c r="C507">
        <v>1.0962000000000001</v>
      </c>
      <c r="D507">
        <v>367.81380000000001</v>
      </c>
      <c r="E507">
        <v>403.11270000000002</v>
      </c>
      <c r="F507">
        <v>0</v>
      </c>
    </row>
    <row r="508" spans="1:6" x14ac:dyDescent="0.3">
      <c r="A508" s="51">
        <v>45990.620752314811</v>
      </c>
      <c r="B508">
        <v>1250</v>
      </c>
      <c r="C508">
        <v>1.0925</v>
      </c>
      <c r="D508">
        <v>366.91379999999998</v>
      </c>
      <c r="E508">
        <v>400.61275999999998</v>
      </c>
      <c r="F508">
        <v>0</v>
      </c>
    </row>
    <row r="509" spans="1:6" x14ac:dyDescent="0.3">
      <c r="A509" s="51">
        <v>45990.620868055557</v>
      </c>
      <c r="B509">
        <v>1260</v>
      </c>
      <c r="C509">
        <v>1.0900000000000001</v>
      </c>
      <c r="D509">
        <v>366.18880000000001</v>
      </c>
      <c r="E509">
        <v>399.36282</v>
      </c>
      <c r="F509">
        <v>0</v>
      </c>
    </row>
    <row r="510" spans="1:6" x14ac:dyDescent="0.3">
      <c r="A510" s="51">
        <v>45990.620983796296</v>
      </c>
      <c r="B510">
        <v>1270</v>
      </c>
      <c r="C510">
        <v>1.0888</v>
      </c>
      <c r="D510">
        <v>365.61380000000003</v>
      </c>
      <c r="E510">
        <v>398.11284999999998</v>
      </c>
      <c r="F510">
        <v>0</v>
      </c>
    </row>
    <row r="511" spans="1:6" x14ac:dyDescent="0.3">
      <c r="A511" s="51">
        <v>45990.621099537035</v>
      </c>
      <c r="B511">
        <v>1280</v>
      </c>
      <c r="C511">
        <v>1.0874999999999999</v>
      </c>
      <c r="D511">
        <v>365.1139</v>
      </c>
      <c r="E511">
        <v>397.48784999999998</v>
      </c>
      <c r="F511">
        <v>0</v>
      </c>
    </row>
    <row r="512" spans="1:6" x14ac:dyDescent="0.3">
      <c r="A512" s="51">
        <v>45990.621215277781</v>
      </c>
      <c r="B512">
        <v>1290</v>
      </c>
      <c r="C512">
        <v>1.0862000000000001</v>
      </c>
      <c r="D512">
        <v>364.63889999999998</v>
      </c>
      <c r="E512">
        <v>395.61291999999997</v>
      </c>
      <c r="F512">
        <v>0</v>
      </c>
    </row>
    <row r="513" spans="1:6" x14ac:dyDescent="0.3">
      <c r="A513" s="51">
        <v>45990.621331018519</v>
      </c>
      <c r="B513">
        <v>1300</v>
      </c>
      <c r="C513">
        <v>1.0838000000000001</v>
      </c>
      <c r="D513">
        <v>364.18889999999999</v>
      </c>
      <c r="E513">
        <v>394.36297999999999</v>
      </c>
      <c r="F513">
        <v>0</v>
      </c>
    </row>
    <row r="514" spans="1:6" x14ac:dyDescent="0.3">
      <c r="A514" s="51">
        <v>45990.621446759258</v>
      </c>
      <c r="B514">
        <v>1310</v>
      </c>
      <c r="C514">
        <v>1.0825</v>
      </c>
      <c r="D514">
        <v>363.81389999999999</v>
      </c>
      <c r="E514">
        <v>394.36297999999999</v>
      </c>
      <c r="F514">
        <v>0</v>
      </c>
    </row>
    <row r="515" spans="1:6" x14ac:dyDescent="0.3">
      <c r="A515" s="51">
        <v>45990.621562499997</v>
      </c>
      <c r="B515">
        <v>1320</v>
      </c>
      <c r="C515">
        <v>1.0811999999999999</v>
      </c>
      <c r="D515">
        <v>363.41390000000001</v>
      </c>
      <c r="E515">
        <v>393.11300999999997</v>
      </c>
      <c r="F515">
        <v>0</v>
      </c>
    </row>
    <row r="516" spans="1:6" x14ac:dyDescent="0.3">
      <c r="A516" s="51">
        <v>45990.621678240743</v>
      </c>
      <c r="B516">
        <v>1330</v>
      </c>
      <c r="C516">
        <v>1.08</v>
      </c>
      <c r="D516">
        <v>363.03890000000001</v>
      </c>
      <c r="E516">
        <v>392.48804000000001</v>
      </c>
      <c r="F516">
        <v>0</v>
      </c>
    </row>
    <row r="517" spans="1:6" x14ac:dyDescent="0.3">
      <c r="A517" s="51">
        <v>45990.621793981481</v>
      </c>
      <c r="B517">
        <v>1340</v>
      </c>
      <c r="C517">
        <v>1.08</v>
      </c>
      <c r="D517">
        <v>362.68889999999999</v>
      </c>
      <c r="E517">
        <v>391.86304000000001</v>
      </c>
      <c r="F517">
        <v>0</v>
      </c>
    </row>
    <row r="518" spans="1:6" x14ac:dyDescent="0.3">
      <c r="A518" s="51">
        <v>45990.62190972222</v>
      </c>
      <c r="B518">
        <v>1350</v>
      </c>
      <c r="C518">
        <v>1.0788</v>
      </c>
      <c r="D518">
        <v>362.38889999999998</v>
      </c>
      <c r="E518">
        <v>391.23806999999999</v>
      </c>
      <c r="F518">
        <v>0</v>
      </c>
    </row>
    <row r="519" spans="1:6" x14ac:dyDescent="0.3">
      <c r="A519" s="51">
        <v>45990.622025462966</v>
      </c>
      <c r="B519">
        <v>1360</v>
      </c>
      <c r="C519">
        <v>1.0788</v>
      </c>
      <c r="D519">
        <v>362.11399999999998</v>
      </c>
      <c r="E519">
        <v>389.98809999999997</v>
      </c>
      <c r="F519">
        <v>0</v>
      </c>
    </row>
    <row r="520" spans="1:6" x14ac:dyDescent="0.3">
      <c r="A520" s="51">
        <v>45990.622141203705</v>
      </c>
      <c r="B520">
        <v>1370</v>
      </c>
      <c r="C520">
        <v>1.0711999999999999</v>
      </c>
      <c r="D520">
        <v>359.839</v>
      </c>
      <c r="E520">
        <v>384.98824999999999</v>
      </c>
      <c r="F520">
        <v>0</v>
      </c>
    </row>
    <row r="521" spans="1:6" x14ac:dyDescent="0.3">
      <c r="A521" s="51">
        <v>45990.622256944444</v>
      </c>
      <c r="B521">
        <v>1380</v>
      </c>
      <c r="C521">
        <v>1.3075000000000001</v>
      </c>
      <c r="D521">
        <v>0</v>
      </c>
      <c r="E521">
        <v>0</v>
      </c>
      <c r="F521">
        <v>1</v>
      </c>
    </row>
    <row r="522" spans="1:6" x14ac:dyDescent="0.3">
      <c r="A522" s="51">
        <v>45990.622372685182</v>
      </c>
      <c r="B522">
        <v>1390</v>
      </c>
      <c r="C522">
        <v>1.3211999999999999</v>
      </c>
      <c r="D522">
        <v>0</v>
      </c>
      <c r="E522">
        <v>0</v>
      </c>
      <c r="F522">
        <v>1</v>
      </c>
    </row>
    <row r="523" spans="1:6" x14ac:dyDescent="0.3">
      <c r="A523" s="51">
        <v>45990.622488425928</v>
      </c>
      <c r="B523">
        <v>1400</v>
      </c>
      <c r="C523">
        <v>1.33</v>
      </c>
      <c r="D523">
        <v>0</v>
      </c>
      <c r="E523">
        <v>0</v>
      </c>
      <c r="F523">
        <v>1</v>
      </c>
    </row>
    <row r="524" spans="1:6" x14ac:dyDescent="0.3">
      <c r="A524" s="51">
        <v>45990.622604166667</v>
      </c>
      <c r="B524">
        <v>1410</v>
      </c>
      <c r="C524">
        <v>1.3362000000000001</v>
      </c>
      <c r="D524">
        <v>0</v>
      </c>
      <c r="E524">
        <v>0</v>
      </c>
      <c r="F524">
        <v>1</v>
      </c>
    </row>
    <row r="525" spans="1:6" x14ac:dyDescent="0.3">
      <c r="A525" s="51">
        <v>45990.622719907406</v>
      </c>
      <c r="B525">
        <v>1420</v>
      </c>
      <c r="C525">
        <v>1.34</v>
      </c>
      <c r="D525">
        <v>0</v>
      </c>
      <c r="E525">
        <v>0</v>
      </c>
      <c r="F525">
        <v>1</v>
      </c>
    </row>
    <row r="526" spans="1:6" x14ac:dyDescent="0.3">
      <c r="A526" s="51">
        <v>45990.622835648152</v>
      </c>
      <c r="B526">
        <v>1430</v>
      </c>
      <c r="C526">
        <v>1.345</v>
      </c>
      <c r="D526">
        <v>0</v>
      </c>
      <c r="E526">
        <v>0</v>
      </c>
      <c r="F526">
        <v>1</v>
      </c>
    </row>
    <row r="527" spans="1:6" x14ac:dyDescent="0.3">
      <c r="A527" s="51">
        <v>45990.62295138889</v>
      </c>
      <c r="B527">
        <v>1440</v>
      </c>
      <c r="C527">
        <v>1.1136999999999999</v>
      </c>
      <c r="D527">
        <v>373.5136</v>
      </c>
      <c r="E527">
        <v>415.6123</v>
      </c>
      <c r="F527">
        <v>0</v>
      </c>
    </row>
    <row r="528" spans="1:6" x14ac:dyDescent="0.3">
      <c r="A528" s="51">
        <v>45990.623067129629</v>
      </c>
      <c r="B528">
        <v>1450</v>
      </c>
      <c r="C528">
        <v>1.1000000000000001</v>
      </c>
      <c r="D528">
        <v>369.51369999999997</v>
      </c>
      <c r="E528">
        <v>406.23761000000002</v>
      </c>
      <c r="F528">
        <v>0</v>
      </c>
    </row>
    <row r="529" spans="1:6" x14ac:dyDescent="0.3">
      <c r="A529" s="51">
        <v>45990.623182870368</v>
      </c>
      <c r="B529">
        <v>1460</v>
      </c>
      <c r="C529">
        <v>1.095</v>
      </c>
      <c r="D529">
        <v>367.43880000000001</v>
      </c>
      <c r="E529">
        <v>401.86273</v>
      </c>
      <c r="F529">
        <v>0</v>
      </c>
    </row>
    <row r="530" spans="1:6" x14ac:dyDescent="0.3">
      <c r="A530" s="51">
        <v>45990.623298611114</v>
      </c>
      <c r="B530">
        <v>1470</v>
      </c>
      <c r="C530">
        <v>1.0900000000000001</v>
      </c>
      <c r="D530">
        <v>366.06380000000001</v>
      </c>
      <c r="E530">
        <v>398.73782</v>
      </c>
      <c r="F530">
        <v>0</v>
      </c>
    </row>
    <row r="531" spans="1:6" x14ac:dyDescent="0.3">
      <c r="A531" s="51">
        <v>45990.623414351852</v>
      </c>
      <c r="B531">
        <v>1480</v>
      </c>
      <c r="C531">
        <v>1.0862000000000001</v>
      </c>
      <c r="D531">
        <v>365.01389999999998</v>
      </c>
      <c r="E531">
        <v>396.23791999999997</v>
      </c>
      <c r="F531">
        <v>0</v>
      </c>
    </row>
    <row r="532" spans="1:6" x14ac:dyDescent="0.3">
      <c r="A532" s="51">
        <v>45990.623530092591</v>
      </c>
      <c r="B532">
        <v>1490</v>
      </c>
      <c r="C532">
        <v>1.085</v>
      </c>
      <c r="D532">
        <v>364.21390000000002</v>
      </c>
      <c r="E532">
        <v>394.98795000000001</v>
      </c>
      <c r="F532">
        <v>0</v>
      </c>
    </row>
    <row r="533" spans="1:6" x14ac:dyDescent="0.3">
      <c r="A533" s="51">
        <v>45990.623645833337</v>
      </c>
      <c r="B533">
        <v>1500</v>
      </c>
      <c r="C533">
        <v>1.0825</v>
      </c>
      <c r="D533">
        <v>363.51389999999998</v>
      </c>
      <c r="E533">
        <v>393.11300999999997</v>
      </c>
      <c r="F533">
        <v>0</v>
      </c>
    </row>
    <row r="534" spans="1:6" x14ac:dyDescent="0.3">
      <c r="A534" s="51">
        <v>45990.623761574076</v>
      </c>
      <c r="B534">
        <v>1510</v>
      </c>
      <c r="C534">
        <v>1.08</v>
      </c>
      <c r="D534">
        <v>362.93889999999999</v>
      </c>
      <c r="E534">
        <v>392.48804000000001</v>
      </c>
      <c r="F534">
        <v>0</v>
      </c>
    </row>
    <row r="535" spans="1:6" x14ac:dyDescent="0.3">
      <c r="A535" s="51">
        <v>45990.623877314814</v>
      </c>
      <c r="B535">
        <v>1520</v>
      </c>
      <c r="C535">
        <v>1.08</v>
      </c>
      <c r="D535">
        <v>362.41390000000001</v>
      </c>
      <c r="E535">
        <v>391.23806999999999</v>
      </c>
      <c r="F535">
        <v>0</v>
      </c>
    </row>
    <row r="536" spans="1:6" x14ac:dyDescent="0.3">
      <c r="A536" s="51">
        <v>45990.623993055553</v>
      </c>
      <c r="B536">
        <v>1530</v>
      </c>
      <c r="C536">
        <v>1.0774999999999999</v>
      </c>
      <c r="D536">
        <v>361.98899999999998</v>
      </c>
      <c r="E536">
        <v>389.98809999999997</v>
      </c>
      <c r="F536">
        <v>0</v>
      </c>
    </row>
    <row r="537" spans="1:6" x14ac:dyDescent="0.3">
      <c r="A537" s="51">
        <v>45990.624108796299</v>
      </c>
      <c r="B537">
        <v>1540</v>
      </c>
      <c r="C537">
        <v>1.0762</v>
      </c>
      <c r="D537">
        <v>361.53899999999999</v>
      </c>
      <c r="E537">
        <v>389.36313000000001</v>
      </c>
      <c r="F537">
        <v>0</v>
      </c>
    </row>
    <row r="538" spans="1:6" x14ac:dyDescent="0.3">
      <c r="A538" s="51">
        <v>45990.624224537038</v>
      </c>
      <c r="B538">
        <v>1550</v>
      </c>
      <c r="C538">
        <v>1.075</v>
      </c>
      <c r="D538">
        <v>361.13900000000001</v>
      </c>
      <c r="E538">
        <v>388.11315999999999</v>
      </c>
      <c r="F538">
        <v>0</v>
      </c>
    </row>
    <row r="539" spans="1:6" x14ac:dyDescent="0.3">
      <c r="A539" s="51">
        <v>45990.624340277776</v>
      </c>
      <c r="B539">
        <v>1560</v>
      </c>
      <c r="C539">
        <v>1.0738000000000001</v>
      </c>
      <c r="D539">
        <v>360.81400000000002</v>
      </c>
      <c r="E539">
        <v>387.48815999999999</v>
      </c>
      <c r="F539">
        <v>0</v>
      </c>
    </row>
    <row r="540" spans="1:6" x14ac:dyDescent="0.3">
      <c r="A540" s="51">
        <v>45990.624456018515</v>
      </c>
      <c r="B540">
        <v>1570</v>
      </c>
      <c r="C540">
        <v>1.0738000000000001</v>
      </c>
      <c r="D540">
        <v>360.464</v>
      </c>
      <c r="E540">
        <v>386.86318999999997</v>
      </c>
      <c r="F540">
        <v>0</v>
      </c>
    </row>
    <row r="541" spans="1:6" x14ac:dyDescent="0.3">
      <c r="A541" s="51">
        <v>45990.624571759261</v>
      </c>
      <c r="B541">
        <v>1580</v>
      </c>
      <c r="C541">
        <v>1.0725</v>
      </c>
      <c r="D541">
        <v>360.16399999999999</v>
      </c>
      <c r="E541">
        <v>386.23822000000001</v>
      </c>
      <c r="F541">
        <v>0</v>
      </c>
    </row>
    <row r="542" spans="1:6" x14ac:dyDescent="0.3">
      <c r="A542" s="51">
        <v>45990.6246875</v>
      </c>
      <c r="B542">
        <v>1590</v>
      </c>
      <c r="C542">
        <v>1.0711999999999999</v>
      </c>
      <c r="D542">
        <v>359.86399999999998</v>
      </c>
      <c r="E542">
        <v>384.98824999999999</v>
      </c>
      <c r="F542">
        <v>0</v>
      </c>
    </row>
    <row r="543" spans="1:6" x14ac:dyDescent="0.3">
      <c r="A543" s="51">
        <v>45990.624803240738</v>
      </c>
      <c r="B543">
        <v>1600</v>
      </c>
      <c r="C543">
        <v>1.07</v>
      </c>
      <c r="D543">
        <v>359.56400000000002</v>
      </c>
      <c r="E543">
        <v>384.98824999999999</v>
      </c>
      <c r="F543">
        <v>0</v>
      </c>
    </row>
    <row r="544" spans="1:6" x14ac:dyDescent="0.3">
      <c r="A544" s="51">
        <v>45990.624918981484</v>
      </c>
      <c r="B544">
        <v>1610</v>
      </c>
      <c r="C544">
        <v>1.0688</v>
      </c>
      <c r="D544">
        <v>359.31400000000002</v>
      </c>
      <c r="E544">
        <v>383.73827999999997</v>
      </c>
      <c r="F544">
        <v>0</v>
      </c>
    </row>
    <row r="545" spans="1:6" x14ac:dyDescent="0.3">
      <c r="A545" s="51">
        <v>45990.625034722223</v>
      </c>
      <c r="B545">
        <v>1620</v>
      </c>
      <c r="C545">
        <v>1.2962</v>
      </c>
      <c r="D545">
        <v>0</v>
      </c>
      <c r="E545">
        <v>0</v>
      </c>
      <c r="F545">
        <v>1</v>
      </c>
    </row>
    <row r="546" spans="1:6" x14ac:dyDescent="0.3">
      <c r="A546" s="51">
        <v>45990.625150462962</v>
      </c>
      <c r="B546">
        <v>1630</v>
      </c>
      <c r="C546">
        <v>1.31</v>
      </c>
      <c r="D546">
        <v>0</v>
      </c>
      <c r="E546">
        <v>0</v>
      </c>
      <c r="F546">
        <v>1</v>
      </c>
    </row>
    <row r="547" spans="1:6" x14ac:dyDescent="0.3">
      <c r="A547" s="51">
        <v>45990.6252662037</v>
      </c>
      <c r="B547">
        <v>1640</v>
      </c>
      <c r="C547">
        <v>1.32</v>
      </c>
      <c r="D547">
        <v>0</v>
      </c>
      <c r="E547">
        <v>0</v>
      </c>
      <c r="F547">
        <v>1</v>
      </c>
    </row>
    <row r="548" spans="1:6" x14ac:dyDescent="0.3">
      <c r="A548" s="51">
        <v>45990.625381944446</v>
      </c>
      <c r="B548">
        <v>1650</v>
      </c>
      <c r="C548">
        <v>1.325</v>
      </c>
      <c r="D548">
        <v>0</v>
      </c>
      <c r="E548">
        <v>0</v>
      </c>
      <c r="F548">
        <v>1</v>
      </c>
    </row>
    <row r="549" spans="1:6" x14ac:dyDescent="0.3">
      <c r="A549" s="51">
        <v>45990.625497685185</v>
      </c>
      <c r="B549">
        <v>1660</v>
      </c>
      <c r="C549">
        <v>1.33</v>
      </c>
      <c r="D549">
        <v>2.5000000000000001E-2</v>
      </c>
      <c r="E549">
        <v>0</v>
      </c>
      <c r="F549">
        <v>1</v>
      </c>
    </row>
    <row r="550" spans="1:6" x14ac:dyDescent="0.3">
      <c r="A550" s="51">
        <v>45990.625613425924</v>
      </c>
      <c r="B550">
        <v>1670</v>
      </c>
      <c r="C550">
        <v>1.3338000000000001</v>
      </c>
      <c r="D550">
        <v>0</v>
      </c>
      <c r="E550">
        <v>0</v>
      </c>
      <c r="F550">
        <v>1</v>
      </c>
    </row>
    <row r="551" spans="1:6" x14ac:dyDescent="0.3">
      <c r="A551" s="51">
        <v>45990.62572916667</v>
      </c>
      <c r="B551">
        <v>1680</v>
      </c>
      <c r="C551">
        <v>1.1025</v>
      </c>
      <c r="D551">
        <v>369.98869999999999</v>
      </c>
      <c r="E551">
        <v>407.48755</v>
      </c>
      <c r="F551">
        <v>0</v>
      </c>
    </row>
    <row r="552" spans="1:6" x14ac:dyDescent="0.3">
      <c r="A552" s="51">
        <v>45990.625844907408</v>
      </c>
      <c r="B552">
        <v>1690</v>
      </c>
      <c r="C552">
        <v>1.0900000000000001</v>
      </c>
      <c r="D552">
        <v>366.03879999999998</v>
      </c>
      <c r="E552">
        <v>399.36282</v>
      </c>
      <c r="F552">
        <v>0</v>
      </c>
    </row>
    <row r="553" spans="1:6" x14ac:dyDescent="0.3">
      <c r="A553" s="51">
        <v>45990.625960648147</v>
      </c>
      <c r="B553">
        <v>1700</v>
      </c>
      <c r="C553">
        <v>1.0838000000000001</v>
      </c>
      <c r="D553">
        <v>364.01389999999998</v>
      </c>
      <c r="E553">
        <v>394.36297999999999</v>
      </c>
      <c r="F553">
        <v>0</v>
      </c>
    </row>
    <row r="554" spans="1:6" x14ac:dyDescent="0.3">
      <c r="A554" s="51">
        <v>45990.626076388886</v>
      </c>
      <c r="B554">
        <v>1710</v>
      </c>
      <c r="C554">
        <v>1.0788</v>
      </c>
      <c r="D554">
        <v>362.66390000000001</v>
      </c>
      <c r="E554">
        <v>391.23806999999999</v>
      </c>
      <c r="F554">
        <v>0</v>
      </c>
    </row>
    <row r="555" spans="1:6" x14ac:dyDescent="0.3">
      <c r="A555" s="51">
        <v>45990.626192129632</v>
      </c>
      <c r="B555">
        <v>1720</v>
      </c>
      <c r="C555">
        <v>1.0774999999999999</v>
      </c>
      <c r="D555">
        <v>361.63889999999998</v>
      </c>
      <c r="E555">
        <v>389.36313000000001</v>
      </c>
      <c r="F555">
        <v>0</v>
      </c>
    </row>
    <row r="556" spans="1:6" x14ac:dyDescent="0.3">
      <c r="A556" s="51">
        <v>45990.626307870371</v>
      </c>
      <c r="B556">
        <v>1730</v>
      </c>
      <c r="C556">
        <v>1.0738000000000001</v>
      </c>
      <c r="D556">
        <v>360.81400000000002</v>
      </c>
      <c r="E556">
        <v>387.48815999999999</v>
      </c>
      <c r="F556">
        <v>0</v>
      </c>
    </row>
    <row r="557" spans="1:6" x14ac:dyDescent="0.3">
      <c r="A557" s="51">
        <v>45990.626423611109</v>
      </c>
      <c r="B557">
        <v>1740</v>
      </c>
      <c r="C557">
        <v>1.0725</v>
      </c>
      <c r="D557">
        <v>360.16399999999999</v>
      </c>
      <c r="E557">
        <v>386.23822000000001</v>
      </c>
      <c r="F557">
        <v>0</v>
      </c>
    </row>
    <row r="558" spans="1:6" x14ac:dyDescent="0.3">
      <c r="A558" s="51">
        <v>45990.626539351855</v>
      </c>
      <c r="B558">
        <v>1750</v>
      </c>
      <c r="C558">
        <v>1.07</v>
      </c>
      <c r="D558">
        <v>359.589</v>
      </c>
      <c r="E558">
        <v>384.98824999999999</v>
      </c>
      <c r="F558">
        <v>0</v>
      </c>
    </row>
    <row r="559" spans="1:6" x14ac:dyDescent="0.3">
      <c r="A559" s="51">
        <v>45990.626655092594</v>
      </c>
      <c r="B559">
        <v>1760</v>
      </c>
      <c r="C559">
        <v>1.0688</v>
      </c>
      <c r="D559">
        <v>359.089</v>
      </c>
      <c r="E559">
        <v>383.73827999999997</v>
      </c>
      <c r="F559">
        <v>0</v>
      </c>
    </row>
    <row r="560" spans="1:6" x14ac:dyDescent="0.3">
      <c r="A560" s="51">
        <v>45990.626770833333</v>
      </c>
      <c r="B560">
        <v>1770</v>
      </c>
      <c r="C560">
        <v>1.0674999999999999</v>
      </c>
      <c r="D560">
        <v>358.63900000000001</v>
      </c>
      <c r="E560">
        <v>383.11331000000001</v>
      </c>
      <c r="F560">
        <v>0</v>
      </c>
    </row>
    <row r="561" spans="1:6" x14ac:dyDescent="0.3">
      <c r="A561" s="51">
        <v>45990.626886574071</v>
      </c>
      <c r="B561">
        <v>1780</v>
      </c>
      <c r="C561">
        <v>1.0662</v>
      </c>
      <c r="D561">
        <v>358.21409999999997</v>
      </c>
      <c r="E561">
        <v>381.86333999999999</v>
      </c>
      <c r="F561">
        <v>0</v>
      </c>
    </row>
    <row r="562" spans="1:6" x14ac:dyDescent="0.3">
      <c r="A562" s="51">
        <v>45990.627002314817</v>
      </c>
      <c r="B562">
        <v>1790</v>
      </c>
      <c r="C562">
        <v>1.0649999999999999</v>
      </c>
      <c r="D562">
        <v>357.83909999999997</v>
      </c>
      <c r="E562">
        <v>380.61336999999997</v>
      </c>
      <c r="F562">
        <v>0</v>
      </c>
    </row>
    <row r="563" spans="1:6" x14ac:dyDescent="0.3">
      <c r="A563" s="51">
        <v>45990.627118055556</v>
      </c>
      <c r="B563">
        <v>1800</v>
      </c>
      <c r="C563">
        <v>1.0638000000000001</v>
      </c>
      <c r="D563">
        <v>357.48910000000001</v>
      </c>
      <c r="E563">
        <v>379.98840000000001</v>
      </c>
      <c r="F563">
        <v>0</v>
      </c>
    </row>
    <row r="564" spans="1:6" x14ac:dyDescent="0.3">
      <c r="A564" s="51">
        <v>45990.627233796295</v>
      </c>
      <c r="B564">
        <v>1810</v>
      </c>
      <c r="C564">
        <v>1.0625</v>
      </c>
      <c r="D564">
        <v>357.1891</v>
      </c>
      <c r="E564">
        <v>379.98840000000001</v>
      </c>
      <c r="F564">
        <v>0</v>
      </c>
    </row>
    <row r="565" spans="1:6" x14ac:dyDescent="0.3">
      <c r="A565" s="51">
        <v>45990.627349537041</v>
      </c>
      <c r="B565">
        <v>1820</v>
      </c>
      <c r="C565">
        <v>1.0611999999999999</v>
      </c>
      <c r="D565">
        <v>356.88909999999998</v>
      </c>
      <c r="E565">
        <v>378.73842999999999</v>
      </c>
      <c r="F565">
        <v>0</v>
      </c>
    </row>
    <row r="566" spans="1:6" x14ac:dyDescent="0.3">
      <c r="A566" s="51">
        <v>45990.627465277779</v>
      </c>
      <c r="B566">
        <v>1830</v>
      </c>
      <c r="C566">
        <v>1.0611999999999999</v>
      </c>
      <c r="D566">
        <v>356.58909999999997</v>
      </c>
      <c r="E566">
        <v>378.73842999999999</v>
      </c>
      <c r="F566">
        <v>0</v>
      </c>
    </row>
    <row r="567" spans="1:6" x14ac:dyDescent="0.3">
      <c r="A567" s="51">
        <v>45990.627581018518</v>
      </c>
      <c r="B567">
        <v>1840</v>
      </c>
      <c r="C567">
        <v>1.06</v>
      </c>
      <c r="D567">
        <v>356.3141</v>
      </c>
      <c r="E567">
        <v>378.11345999999998</v>
      </c>
      <c r="F567">
        <v>0</v>
      </c>
    </row>
    <row r="568" spans="1:6" x14ac:dyDescent="0.3">
      <c r="A568" s="51">
        <v>45990.627696759257</v>
      </c>
      <c r="B568">
        <v>1850</v>
      </c>
      <c r="C568">
        <v>1.0588</v>
      </c>
      <c r="D568">
        <v>356.0641</v>
      </c>
      <c r="E568">
        <v>376.86349000000001</v>
      </c>
      <c r="F568">
        <v>0</v>
      </c>
    </row>
    <row r="569" spans="1:6" x14ac:dyDescent="0.3">
      <c r="A569" s="51">
        <v>45990.627812500003</v>
      </c>
      <c r="B569">
        <v>1860</v>
      </c>
      <c r="C569">
        <v>1.2862</v>
      </c>
      <c r="D569">
        <v>0</v>
      </c>
      <c r="E569">
        <v>0</v>
      </c>
      <c r="F569">
        <v>1</v>
      </c>
    </row>
    <row r="570" spans="1:6" x14ac:dyDescent="0.3">
      <c r="A570" s="51">
        <v>45990.627928240741</v>
      </c>
      <c r="B570">
        <v>1870</v>
      </c>
      <c r="C570">
        <v>1.3</v>
      </c>
      <c r="D570">
        <v>0</v>
      </c>
      <c r="E570">
        <v>0</v>
      </c>
      <c r="F570">
        <v>1</v>
      </c>
    </row>
    <row r="571" spans="1:6" x14ac:dyDescent="0.3">
      <c r="A571" s="51">
        <v>45990.62804398148</v>
      </c>
      <c r="B571">
        <v>1880</v>
      </c>
      <c r="C571">
        <v>1.3087</v>
      </c>
      <c r="D571">
        <v>0</v>
      </c>
      <c r="E571">
        <v>0</v>
      </c>
      <c r="F571">
        <v>1</v>
      </c>
    </row>
    <row r="572" spans="1:6" x14ac:dyDescent="0.3">
      <c r="A572" s="51">
        <v>45990.628159722219</v>
      </c>
      <c r="B572">
        <v>1890</v>
      </c>
      <c r="C572">
        <v>1.3149999999999999</v>
      </c>
      <c r="D572">
        <v>0</v>
      </c>
      <c r="E572">
        <v>0</v>
      </c>
      <c r="F572">
        <v>1</v>
      </c>
    </row>
    <row r="573" spans="1:6" x14ac:dyDescent="0.3">
      <c r="A573" s="51">
        <v>45990.628275462965</v>
      </c>
      <c r="B573">
        <v>1900</v>
      </c>
      <c r="C573">
        <v>1.3188</v>
      </c>
      <c r="D573">
        <v>0</v>
      </c>
      <c r="E573">
        <v>0</v>
      </c>
      <c r="F573">
        <v>1</v>
      </c>
    </row>
    <row r="574" spans="1:6" x14ac:dyDescent="0.3">
      <c r="A574" s="51">
        <v>45990.628391203703</v>
      </c>
      <c r="B574">
        <v>1910</v>
      </c>
      <c r="C574">
        <v>1.3238000000000001</v>
      </c>
      <c r="D574">
        <v>0</v>
      </c>
      <c r="E574">
        <v>0</v>
      </c>
      <c r="F574">
        <v>1</v>
      </c>
    </row>
    <row r="575" spans="1:6" x14ac:dyDescent="0.3">
      <c r="A575" s="51">
        <v>45990.628506944442</v>
      </c>
      <c r="B575">
        <v>1920</v>
      </c>
      <c r="C575">
        <v>1.0925</v>
      </c>
      <c r="D575">
        <v>366.56380000000001</v>
      </c>
      <c r="E575">
        <v>400.61275999999998</v>
      </c>
      <c r="F575">
        <v>0</v>
      </c>
    </row>
    <row r="576" spans="1:6" x14ac:dyDescent="0.3">
      <c r="A576" s="51">
        <v>45990.628622685188</v>
      </c>
      <c r="B576">
        <v>1930</v>
      </c>
      <c r="C576">
        <v>1.0788</v>
      </c>
      <c r="D576">
        <v>362.66390000000001</v>
      </c>
      <c r="E576">
        <v>391.23806999999999</v>
      </c>
      <c r="F576">
        <v>0</v>
      </c>
    </row>
    <row r="577" spans="1:6" x14ac:dyDescent="0.3">
      <c r="A577" s="51">
        <v>45990.628738425927</v>
      </c>
      <c r="B577">
        <v>1940</v>
      </c>
      <c r="C577">
        <v>1.0738000000000001</v>
      </c>
      <c r="D577">
        <v>360.66399999999999</v>
      </c>
      <c r="E577">
        <v>386.86318999999997</v>
      </c>
      <c r="F577">
        <v>0</v>
      </c>
    </row>
    <row r="578" spans="1:6" x14ac:dyDescent="0.3">
      <c r="A578" s="51">
        <v>45990.628854166665</v>
      </c>
      <c r="B578">
        <v>1950</v>
      </c>
      <c r="C578">
        <v>1.07</v>
      </c>
      <c r="D578">
        <v>359.339</v>
      </c>
      <c r="E578">
        <v>383.73827999999997</v>
      </c>
      <c r="F578">
        <v>0</v>
      </c>
    </row>
    <row r="579" spans="1:6" x14ac:dyDescent="0.3">
      <c r="A579" s="51">
        <v>45990.628969907404</v>
      </c>
      <c r="B579">
        <v>1960</v>
      </c>
      <c r="C579">
        <v>1.0662</v>
      </c>
      <c r="D579">
        <v>358.33909999999997</v>
      </c>
      <c r="E579">
        <v>381.86333999999999</v>
      </c>
      <c r="F579">
        <v>0</v>
      </c>
    </row>
    <row r="580" spans="1:6" x14ac:dyDescent="0.3">
      <c r="A580" s="51">
        <v>45990.62908564815</v>
      </c>
      <c r="B580">
        <v>1970</v>
      </c>
      <c r="C580">
        <v>1.0638000000000001</v>
      </c>
      <c r="D580">
        <v>357.5641</v>
      </c>
      <c r="E580">
        <v>379.98840000000001</v>
      </c>
      <c r="F580">
        <v>0</v>
      </c>
    </row>
    <row r="581" spans="1:6" x14ac:dyDescent="0.3">
      <c r="A581" s="51">
        <v>45990.629201388889</v>
      </c>
      <c r="B581">
        <v>1980</v>
      </c>
      <c r="C581">
        <v>1.0611999999999999</v>
      </c>
      <c r="D581">
        <v>356.88909999999998</v>
      </c>
      <c r="E581">
        <v>378.73842999999999</v>
      </c>
      <c r="F581">
        <v>0</v>
      </c>
    </row>
    <row r="582" spans="1:6" x14ac:dyDescent="0.3">
      <c r="A582" s="51">
        <v>45990.629317129627</v>
      </c>
      <c r="B582">
        <v>1990</v>
      </c>
      <c r="C582">
        <v>1.06</v>
      </c>
      <c r="D582">
        <v>356.33909999999997</v>
      </c>
      <c r="E582">
        <v>378.11345999999998</v>
      </c>
      <c r="F582">
        <v>0</v>
      </c>
    </row>
    <row r="583" spans="1:6" x14ac:dyDescent="0.3">
      <c r="A583" s="51">
        <v>45990.629432870373</v>
      </c>
      <c r="B583">
        <v>2000</v>
      </c>
      <c r="C583">
        <v>1.0588</v>
      </c>
      <c r="D583">
        <v>355.83909999999997</v>
      </c>
      <c r="E583">
        <v>376.86349000000001</v>
      </c>
      <c r="F583">
        <v>0</v>
      </c>
    </row>
    <row r="584" spans="1:6" x14ac:dyDescent="0.3">
      <c r="A584" s="51">
        <v>45990.629548611112</v>
      </c>
      <c r="B584">
        <v>2010</v>
      </c>
      <c r="C584">
        <v>1.0575000000000001</v>
      </c>
      <c r="D584">
        <v>355.41419999999999</v>
      </c>
      <c r="E584">
        <v>375.61353000000003</v>
      </c>
      <c r="F584">
        <v>0</v>
      </c>
    </row>
    <row r="585" spans="1:6" x14ac:dyDescent="0.3">
      <c r="A585" s="51">
        <v>45990.629664351851</v>
      </c>
      <c r="B585">
        <v>2020</v>
      </c>
      <c r="C585">
        <v>1.0562</v>
      </c>
      <c r="D585">
        <v>355.03919999999999</v>
      </c>
      <c r="E585">
        <v>374.98856000000001</v>
      </c>
      <c r="F585">
        <v>0</v>
      </c>
    </row>
    <row r="586" spans="1:6" x14ac:dyDescent="0.3">
      <c r="A586" s="51">
        <v>45990.629780092589</v>
      </c>
      <c r="B586">
        <v>2030</v>
      </c>
      <c r="C586">
        <v>1.0549999999999999</v>
      </c>
      <c r="D586">
        <v>354.66419999999999</v>
      </c>
      <c r="E586">
        <v>373.73858999999999</v>
      </c>
      <c r="F586">
        <v>0</v>
      </c>
    </row>
    <row r="587" spans="1:6" x14ac:dyDescent="0.3">
      <c r="A587" s="51">
        <v>45990.629895833335</v>
      </c>
      <c r="B587">
        <v>2040</v>
      </c>
      <c r="C587">
        <v>1.0549999999999999</v>
      </c>
      <c r="D587">
        <v>354.33920000000001</v>
      </c>
      <c r="E587">
        <v>373.73858999999999</v>
      </c>
      <c r="F587">
        <v>0</v>
      </c>
    </row>
    <row r="588" spans="1:6" x14ac:dyDescent="0.3">
      <c r="A588" s="51">
        <v>45990.630011574074</v>
      </c>
      <c r="B588">
        <v>2050</v>
      </c>
      <c r="C588">
        <v>1.0537000000000001</v>
      </c>
      <c r="D588">
        <v>354.01420000000002</v>
      </c>
      <c r="E588">
        <v>372.48865000000001</v>
      </c>
      <c r="F588">
        <v>0</v>
      </c>
    </row>
    <row r="589" spans="1:6" x14ac:dyDescent="0.3">
      <c r="A589" s="51">
        <v>45990.630127314813</v>
      </c>
      <c r="B589">
        <v>2060</v>
      </c>
      <c r="C589">
        <v>1.0525</v>
      </c>
      <c r="D589">
        <v>353.71420000000001</v>
      </c>
      <c r="E589">
        <v>372.48865000000001</v>
      </c>
      <c r="F589">
        <v>0</v>
      </c>
    </row>
    <row r="590" spans="1:6" x14ac:dyDescent="0.3">
      <c r="A590" s="51">
        <v>45990.630243055559</v>
      </c>
      <c r="B590">
        <v>2070</v>
      </c>
      <c r="C590">
        <v>1.0511999999999999</v>
      </c>
      <c r="D590">
        <v>353.41419999999999</v>
      </c>
      <c r="E590">
        <v>371.86365000000001</v>
      </c>
      <c r="F590">
        <v>0</v>
      </c>
    </row>
    <row r="591" spans="1:6" x14ac:dyDescent="0.3">
      <c r="A591" s="51">
        <v>45990.630358796298</v>
      </c>
      <c r="B591">
        <v>2080</v>
      </c>
      <c r="C591">
        <v>1.05</v>
      </c>
      <c r="D591">
        <v>353.16419999999999</v>
      </c>
      <c r="E591">
        <v>370.61367999999999</v>
      </c>
      <c r="F591">
        <v>0</v>
      </c>
    </row>
    <row r="592" spans="1:6" x14ac:dyDescent="0.3">
      <c r="A592" s="51">
        <v>45990.630474537036</v>
      </c>
      <c r="B592">
        <v>2090</v>
      </c>
      <c r="C592">
        <v>1.05</v>
      </c>
      <c r="D592">
        <v>352.88920000000002</v>
      </c>
      <c r="E592">
        <v>369.98871000000003</v>
      </c>
      <c r="F592">
        <v>0</v>
      </c>
    </row>
    <row r="593" spans="1:6" x14ac:dyDescent="0.3">
      <c r="A593" s="51">
        <v>45990.630590277775</v>
      </c>
      <c r="B593">
        <v>2100</v>
      </c>
      <c r="C593">
        <v>1.2786999999999999</v>
      </c>
      <c r="D593">
        <v>0</v>
      </c>
      <c r="E593">
        <v>0</v>
      </c>
      <c r="F593">
        <v>1</v>
      </c>
    </row>
    <row r="594" spans="1:6" x14ac:dyDescent="0.3">
      <c r="A594" s="51">
        <v>45990.630706018521</v>
      </c>
      <c r="B594">
        <v>2110</v>
      </c>
      <c r="C594">
        <v>1.2911999999999999</v>
      </c>
      <c r="D594">
        <v>0</v>
      </c>
      <c r="E594">
        <v>0</v>
      </c>
      <c r="F594">
        <v>1</v>
      </c>
    </row>
    <row r="595" spans="1:6" x14ac:dyDescent="0.3">
      <c r="A595" s="51">
        <v>45990.63082175926</v>
      </c>
      <c r="B595">
        <v>2120</v>
      </c>
      <c r="C595">
        <v>1.3</v>
      </c>
      <c r="D595">
        <v>0</v>
      </c>
      <c r="E595">
        <v>0</v>
      </c>
      <c r="F595">
        <v>1</v>
      </c>
    </row>
    <row r="596" spans="1:6" x14ac:dyDescent="0.3">
      <c r="A596" s="51">
        <v>45990.630937499998</v>
      </c>
      <c r="B596">
        <v>2130</v>
      </c>
      <c r="C596">
        <v>1.3062</v>
      </c>
      <c r="D596">
        <v>0</v>
      </c>
      <c r="E596">
        <v>0</v>
      </c>
      <c r="F596">
        <v>1</v>
      </c>
    </row>
    <row r="597" spans="1:6" x14ac:dyDescent="0.3">
      <c r="A597" s="51">
        <v>45990.631053240744</v>
      </c>
      <c r="B597">
        <v>2140</v>
      </c>
      <c r="C597">
        <v>1.3111999999999999</v>
      </c>
      <c r="D597">
        <v>2.5000000000000001E-2</v>
      </c>
      <c r="E597">
        <v>0</v>
      </c>
      <c r="F597">
        <v>1</v>
      </c>
    </row>
    <row r="598" spans="1:6" x14ac:dyDescent="0.3">
      <c r="A598" s="51">
        <v>45990.631168981483</v>
      </c>
      <c r="B598">
        <v>2150</v>
      </c>
      <c r="C598">
        <v>1.3149999999999999</v>
      </c>
      <c r="D598">
        <v>0</v>
      </c>
      <c r="E598">
        <v>0</v>
      </c>
      <c r="F598">
        <v>1</v>
      </c>
    </row>
    <row r="599" spans="1:6" x14ac:dyDescent="0.3">
      <c r="A599" s="51">
        <v>45990.631284722222</v>
      </c>
      <c r="B599">
        <v>2160</v>
      </c>
      <c r="C599">
        <v>1.0825</v>
      </c>
      <c r="D599">
        <v>363.28890000000001</v>
      </c>
      <c r="E599">
        <v>393.11300999999997</v>
      </c>
      <c r="F599">
        <v>0</v>
      </c>
    </row>
    <row r="600" spans="1:6" x14ac:dyDescent="0.3">
      <c r="A600" s="51">
        <v>45990.63140046296</v>
      </c>
      <c r="B600">
        <v>2170</v>
      </c>
      <c r="C600">
        <v>1.07</v>
      </c>
      <c r="D600">
        <v>359.36399999999998</v>
      </c>
      <c r="E600">
        <v>383.73827999999997</v>
      </c>
      <c r="F600">
        <v>0</v>
      </c>
    </row>
    <row r="601" spans="1:6" x14ac:dyDescent="0.3">
      <c r="A601" s="51">
        <v>45990.631516203706</v>
      </c>
      <c r="B601">
        <v>2180</v>
      </c>
      <c r="C601">
        <v>1.0638000000000001</v>
      </c>
      <c r="D601">
        <v>357.41410000000002</v>
      </c>
      <c r="E601">
        <v>379.98840000000001</v>
      </c>
      <c r="F601">
        <v>0</v>
      </c>
    </row>
    <row r="602" spans="1:6" x14ac:dyDescent="0.3">
      <c r="A602" s="51">
        <v>45990.631631944445</v>
      </c>
      <c r="B602">
        <v>2190</v>
      </c>
      <c r="C602">
        <v>1.0588</v>
      </c>
      <c r="D602">
        <v>356.11410000000001</v>
      </c>
      <c r="E602">
        <v>377.48845999999998</v>
      </c>
      <c r="F602">
        <v>0</v>
      </c>
    </row>
    <row r="603" spans="1:6" x14ac:dyDescent="0.3">
      <c r="A603" s="51">
        <v>45990.631747685184</v>
      </c>
      <c r="B603">
        <v>2200</v>
      </c>
      <c r="C603">
        <v>1.0575000000000001</v>
      </c>
      <c r="D603">
        <v>355.13920000000002</v>
      </c>
      <c r="E603">
        <v>375.61353000000003</v>
      </c>
      <c r="F603">
        <v>0</v>
      </c>
    </row>
    <row r="604" spans="1:6" x14ac:dyDescent="0.3">
      <c r="A604" s="51">
        <v>45990.631863425922</v>
      </c>
      <c r="B604">
        <v>2210</v>
      </c>
      <c r="C604">
        <v>1.0537000000000001</v>
      </c>
      <c r="D604">
        <v>354.38920000000002</v>
      </c>
      <c r="E604">
        <v>373.73858999999999</v>
      </c>
      <c r="F604">
        <v>0</v>
      </c>
    </row>
    <row r="605" spans="1:6" x14ac:dyDescent="0.3">
      <c r="A605" s="51">
        <v>45990.631979166668</v>
      </c>
      <c r="B605">
        <v>2220</v>
      </c>
      <c r="C605">
        <v>1.0525</v>
      </c>
      <c r="D605">
        <v>353.76420000000002</v>
      </c>
      <c r="E605">
        <v>372.48865000000001</v>
      </c>
      <c r="F605">
        <v>0</v>
      </c>
    </row>
    <row r="606" spans="1:6" x14ac:dyDescent="0.3">
      <c r="A606" s="51">
        <v>45990.632094907407</v>
      </c>
      <c r="B606">
        <v>2230</v>
      </c>
      <c r="C606">
        <v>1.0511999999999999</v>
      </c>
      <c r="D606">
        <v>353.23919999999998</v>
      </c>
      <c r="E606">
        <v>371.86365000000001</v>
      </c>
      <c r="F606">
        <v>0</v>
      </c>
    </row>
    <row r="607" spans="1:6" x14ac:dyDescent="0.3">
      <c r="A607" s="51">
        <v>45990.632210648146</v>
      </c>
      <c r="B607">
        <v>2240</v>
      </c>
      <c r="C607">
        <v>1.05</v>
      </c>
      <c r="D607">
        <v>352.78919999999999</v>
      </c>
      <c r="E607">
        <v>370.61367999999999</v>
      </c>
      <c r="F607">
        <v>0</v>
      </c>
    </row>
    <row r="608" spans="1:6" x14ac:dyDescent="0.3">
      <c r="A608" s="51">
        <v>45990.632326388892</v>
      </c>
      <c r="B608">
        <v>2250</v>
      </c>
      <c r="C608">
        <v>1.0487</v>
      </c>
      <c r="D608">
        <v>352.36419999999998</v>
      </c>
      <c r="E608">
        <v>369.36374000000001</v>
      </c>
      <c r="F608">
        <v>0</v>
      </c>
    </row>
    <row r="609" spans="1:6" x14ac:dyDescent="0.3">
      <c r="A609" s="51">
        <v>45990.63244212963</v>
      </c>
      <c r="B609">
        <v>2260</v>
      </c>
      <c r="C609">
        <v>1.0462</v>
      </c>
      <c r="D609">
        <v>351.98930000000001</v>
      </c>
      <c r="E609">
        <v>368.73874000000001</v>
      </c>
      <c r="F609">
        <v>0</v>
      </c>
    </row>
    <row r="610" spans="1:6" x14ac:dyDescent="0.3">
      <c r="A610" s="51">
        <v>45990.632557870369</v>
      </c>
      <c r="B610">
        <v>2270</v>
      </c>
      <c r="C610">
        <v>1.0462</v>
      </c>
      <c r="D610">
        <v>351.66419999999999</v>
      </c>
      <c r="E610">
        <v>367.48876999999999</v>
      </c>
      <c r="F610">
        <v>0</v>
      </c>
    </row>
    <row r="611" spans="1:6" x14ac:dyDescent="0.3">
      <c r="A611" s="51">
        <v>45990.632673611108</v>
      </c>
      <c r="B611">
        <v>2280</v>
      </c>
      <c r="C611">
        <v>1.0449999999999999</v>
      </c>
      <c r="D611">
        <v>351.3143</v>
      </c>
      <c r="E611">
        <v>366.86380000000003</v>
      </c>
      <c r="F611">
        <v>0</v>
      </c>
    </row>
    <row r="612" spans="1:6" x14ac:dyDescent="0.3">
      <c r="A612" s="51">
        <v>45990.632789351854</v>
      </c>
      <c r="B612">
        <v>2290</v>
      </c>
      <c r="C612">
        <v>1.0437000000000001</v>
      </c>
      <c r="D612">
        <v>351.01429999999999</v>
      </c>
      <c r="E612">
        <v>366.86380000000003</v>
      </c>
      <c r="F612">
        <v>0</v>
      </c>
    </row>
    <row r="613" spans="1:6" x14ac:dyDescent="0.3">
      <c r="A613" s="51">
        <v>45990.632905092592</v>
      </c>
      <c r="B613">
        <v>2300</v>
      </c>
      <c r="C613">
        <v>1.0425</v>
      </c>
      <c r="D613">
        <v>350.73930000000001</v>
      </c>
      <c r="E613">
        <v>365.61383000000001</v>
      </c>
      <c r="F613">
        <v>0</v>
      </c>
    </row>
    <row r="614" spans="1:6" x14ac:dyDescent="0.3">
      <c r="A614" s="51">
        <v>45990.633020833331</v>
      </c>
      <c r="B614">
        <v>2310</v>
      </c>
      <c r="C614">
        <v>1.0425</v>
      </c>
      <c r="D614">
        <v>350.46429999999998</v>
      </c>
      <c r="E614">
        <v>365.61383000000001</v>
      </c>
      <c r="F614">
        <v>0</v>
      </c>
    </row>
    <row r="615" spans="1:6" x14ac:dyDescent="0.3">
      <c r="A615" s="51">
        <v>45990.633136574077</v>
      </c>
      <c r="B615">
        <v>2320</v>
      </c>
      <c r="C615">
        <v>1.0411999999999999</v>
      </c>
      <c r="D615">
        <v>350.21429999999998</v>
      </c>
      <c r="E615">
        <v>364.36389000000003</v>
      </c>
      <c r="F615">
        <v>0</v>
      </c>
    </row>
    <row r="616" spans="1:6" x14ac:dyDescent="0.3">
      <c r="A616" s="51">
        <v>45990.633252314816</v>
      </c>
      <c r="B616">
        <v>2330</v>
      </c>
      <c r="C616">
        <v>1.0411999999999999</v>
      </c>
      <c r="D616">
        <v>349.96429999999998</v>
      </c>
      <c r="E616">
        <v>364.36389000000003</v>
      </c>
      <c r="F616">
        <v>0</v>
      </c>
    </row>
    <row r="617" spans="1:6" x14ac:dyDescent="0.3">
      <c r="A617" s="51">
        <v>45990.633368055554</v>
      </c>
      <c r="B617">
        <v>2340</v>
      </c>
      <c r="C617">
        <v>1.2725</v>
      </c>
      <c r="D617">
        <v>0</v>
      </c>
      <c r="E617">
        <v>0</v>
      </c>
      <c r="F617">
        <v>1</v>
      </c>
    </row>
    <row r="618" spans="1:6" x14ac:dyDescent="0.3">
      <c r="A618" s="51">
        <v>45990.633483796293</v>
      </c>
      <c r="B618">
        <v>2350</v>
      </c>
      <c r="C618">
        <v>1.2837000000000001</v>
      </c>
      <c r="D618">
        <v>0</v>
      </c>
      <c r="E618">
        <v>0</v>
      </c>
      <c r="F618">
        <v>1</v>
      </c>
    </row>
    <row r="619" spans="1:6" x14ac:dyDescent="0.3">
      <c r="A619" s="51">
        <v>45990.633599537039</v>
      </c>
      <c r="B619">
        <v>2360</v>
      </c>
      <c r="C619">
        <v>1.2925</v>
      </c>
      <c r="D619">
        <v>0</v>
      </c>
      <c r="E619">
        <v>0</v>
      </c>
      <c r="F619">
        <v>1</v>
      </c>
    </row>
    <row r="620" spans="1:6" x14ac:dyDescent="0.3">
      <c r="A620" s="51">
        <v>45990.633715277778</v>
      </c>
      <c r="B620">
        <v>2370</v>
      </c>
      <c r="C620">
        <v>1.2987</v>
      </c>
      <c r="D620">
        <v>0</v>
      </c>
      <c r="E620">
        <v>0</v>
      </c>
      <c r="F620">
        <v>1</v>
      </c>
    </row>
    <row r="621" spans="1:6" x14ac:dyDescent="0.3">
      <c r="A621" s="51">
        <v>45990.633831018517</v>
      </c>
      <c r="B621">
        <v>2380</v>
      </c>
      <c r="C621">
        <v>1.3025</v>
      </c>
      <c r="D621">
        <v>0</v>
      </c>
      <c r="E621">
        <v>0</v>
      </c>
      <c r="F621">
        <v>1</v>
      </c>
    </row>
    <row r="622" spans="1:6" x14ac:dyDescent="0.3">
      <c r="A622" s="51">
        <v>45990.633946759262</v>
      </c>
      <c r="B622">
        <v>2390</v>
      </c>
      <c r="C622">
        <v>1.3075000000000001</v>
      </c>
      <c r="D622">
        <v>0</v>
      </c>
      <c r="E622">
        <v>0</v>
      </c>
      <c r="F622">
        <v>1</v>
      </c>
    </row>
    <row r="623" spans="1:6" x14ac:dyDescent="0.3">
      <c r="A623" s="51">
        <v>45990.634062500001</v>
      </c>
      <c r="B623">
        <v>2400</v>
      </c>
      <c r="C623">
        <v>1.0725</v>
      </c>
      <c r="D623">
        <v>360.18900000000002</v>
      </c>
      <c r="E623">
        <v>386.23822000000001</v>
      </c>
      <c r="F623">
        <v>0</v>
      </c>
    </row>
    <row r="624" spans="1:6" x14ac:dyDescent="0.3">
      <c r="A624" s="51">
        <v>45990.63417824074</v>
      </c>
      <c r="B624">
        <v>2410</v>
      </c>
      <c r="C624">
        <v>1.06</v>
      </c>
      <c r="D624">
        <v>356.36410000000001</v>
      </c>
      <c r="E624">
        <v>378.11345999999998</v>
      </c>
      <c r="F624">
        <v>0</v>
      </c>
    </row>
    <row r="625" spans="1:6" x14ac:dyDescent="0.3">
      <c r="A625" s="51">
        <v>45990.634305555555</v>
      </c>
      <c r="B625">
        <v>2420</v>
      </c>
      <c r="C625">
        <v>1.0549999999999999</v>
      </c>
      <c r="D625">
        <v>354.48919999999998</v>
      </c>
      <c r="E625">
        <v>373.73858999999999</v>
      </c>
      <c r="F625">
        <v>0</v>
      </c>
    </row>
    <row r="626" spans="1:6" x14ac:dyDescent="0.3">
      <c r="A626" s="51">
        <v>45990.634421296294</v>
      </c>
      <c r="B626">
        <v>2430</v>
      </c>
      <c r="C626">
        <v>1.0511999999999999</v>
      </c>
      <c r="D626">
        <v>353.21420000000001</v>
      </c>
      <c r="E626">
        <v>371.86365000000001</v>
      </c>
      <c r="F626">
        <v>0</v>
      </c>
    </row>
    <row r="627" spans="1:6" x14ac:dyDescent="0.3">
      <c r="A627" s="51">
        <v>45990.63453703704</v>
      </c>
      <c r="B627">
        <v>2440</v>
      </c>
      <c r="C627">
        <v>1.0487</v>
      </c>
      <c r="D627">
        <v>352.26429999999999</v>
      </c>
      <c r="E627">
        <v>369.36374000000001</v>
      </c>
      <c r="F627">
        <v>0</v>
      </c>
    </row>
    <row r="628" spans="1:6" x14ac:dyDescent="0.3">
      <c r="A628" s="51">
        <v>45990.634652777779</v>
      </c>
      <c r="B628">
        <v>2450</v>
      </c>
      <c r="C628">
        <v>1.0449999999999999</v>
      </c>
      <c r="D628">
        <v>351.51429999999999</v>
      </c>
      <c r="E628">
        <v>367.48876999999999</v>
      </c>
      <c r="F628">
        <v>0</v>
      </c>
    </row>
    <row r="629" spans="1:6" x14ac:dyDescent="0.3">
      <c r="A629" s="51">
        <v>45990.634768518517</v>
      </c>
      <c r="B629">
        <v>2460</v>
      </c>
      <c r="C629">
        <v>1.0437000000000001</v>
      </c>
      <c r="D629">
        <v>350.88929999999999</v>
      </c>
      <c r="E629">
        <v>366.86380000000003</v>
      </c>
      <c r="F629">
        <v>0</v>
      </c>
    </row>
    <row r="630" spans="1:6" x14ac:dyDescent="0.3">
      <c r="A630" s="51">
        <v>45990.634884259256</v>
      </c>
      <c r="B630">
        <v>2470</v>
      </c>
      <c r="C630">
        <v>1.0411999999999999</v>
      </c>
      <c r="D630">
        <v>350.36430000000001</v>
      </c>
      <c r="E630">
        <v>364.98885999999999</v>
      </c>
      <c r="F630">
        <v>0</v>
      </c>
    </row>
    <row r="631" spans="1:6" x14ac:dyDescent="0.3">
      <c r="A631" s="51">
        <v>45990.635000000002</v>
      </c>
      <c r="B631">
        <v>2480</v>
      </c>
      <c r="C631">
        <v>1.04</v>
      </c>
      <c r="D631">
        <v>349.91430000000003</v>
      </c>
      <c r="E631">
        <v>363.73889000000003</v>
      </c>
      <c r="F631">
        <v>0</v>
      </c>
    </row>
    <row r="632" spans="1:6" x14ac:dyDescent="0.3">
      <c r="A632" s="51">
        <v>45990.635115740741</v>
      </c>
      <c r="B632">
        <v>2490</v>
      </c>
      <c r="C632">
        <v>1.04</v>
      </c>
      <c r="D632">
        <v>349.48930000000001</v>
      </c>
      <c r="E632">
        <v>363.73889000000003</v>
      </c>
      <c r="F632">
        <v>0</v>
      </c>
    </row>
    <row r="633" spans="1:6" x14ac:dyDescent="0.3">
      <c r="A633" s="51">
        <v>45990.635231481479</v>
      </c>
      <c r="B633">
        <v>2500</v>
      </c>
      <c r="C633">
        <v>1.0387</v>
      </c>
      <c r="D633">
        <v>349.11430000000001</v>
      </c>
      <c r="E633">
        <v>363.11392000000001</v>
      </c>
      <c r="F633">
        <v>0</v>
      </c>
    </row>
    <row r="634" spans="1:6" x14ac:dyDescent="0.3">
      <c r="A634" s="51">
        <v>45990.635347222225</v>
      </c>
      <c r="B634">
        <v>2510</v>
      </c>
      <c r="C634">
        <v>1.0375000000000001</v>
      </c>
      <c r="D634">
        <v>348.78930000000003</v>
      </c>
      <c r="E634">
        <v>361.86394999999999</v>
      </c>
      <c r="F634">
        <v>0</v>
      </c>
    </row>
    <row r="635" spans="1:6" x14ac:dyDescent="0.3">
      <c r="A635" s="51">
        <v>45990.635462962964</v>
      </c>
      <c r="B635">
        <v>2520</v>
      </c>
      <c r="C635">
        <v>1.0375000000000001</v>
      </c>
      <c r="D635">
        <v>348.48930000000001</v>
      </c>
      <c r="E635">
        <v>361.23898000000003</v>
      </c>
      <c r="F635">
        <v>0</v>
      </c>
    </row>
    <row r="636" spans="1:6" x14ac:dyDescent="0.3">
      <c r="A636" s="51">
        <v>45990.635578703703</v>
      </c>
      <c r="B636">
        <v>2530</v>
      </c>
      <c r="C636">
        <v>1.0362</v>
      </c>
      <c r="D636">
        <v>348.18939999999998</v>
      </c>
      <c r="E636">
        <v>360.61398000000003</v>
      </c>
      <c r="F636">
        <v>0</v>
      </c>
    </row>
    <row r="637" spans="1:6" x14ac:dyDescent="0.3">
      <c r="A637" s="51">
        <v>45990.635694444441</v>
      </c>
      <c r="B637">
        <v>2540</v>
      </c>
      <c r="C637">
        <v>1.0349999999999999</v>
      </c>
      <c r="D637">
        <v>347.88940000000002</v>
      </c>
      <c r="E637">
        <v>360.61398000000003</v>
      </c>
      <c r="F637">
        <v>0</v>
      </c>
    </row>
    <row r="638" spans="1:6" x14ac:dyDescent="0.3">
      <c r="A638" s="51">
        <v>45990.635810185187</v>
      </c>
      <c r="B638">
        <v>2550</v>
      </c>
      <c r="C638">
        <v>1.0337000000000001</v>
      </c>
      <c r="D638">
        <v>347.63940000000002</v>
      </c>
      <c r="E638">
        <v>359.36403999999999</v>
      </c>
      <c r="F638">
        <v>0</v>
      </c>
    </row>
    <row r="639" spans="1:6" x14ac:dyDescent="0.3">
      <c r="A639" s="51">
        <v>45990.635925925926</v>
      </c>
      <c r="B639">
        <v>2560</v>
      </c>
      <c r="C639">
        <v>1.0337000000000001</v>
      </c>
      <c r="D639">
        <v>347.38940000000002</v>
      </c>
      <c r="E639">
        <v>359.36403999999999</v>
      </c>
      <c r="F639">
        <v>0</v>
      </c>
    </row>
    <row r="640" spans="1:6" x14ac:dyDescent="0.3">
      <c r="A640" s="51">
        <v>45990.636041666665</v>
      </c>
      <c r="B640">
        <v>2570</v>
      </c>
      <c r="C640">
        <v>1.0325</v>
      </c>
      <c r="D640">
        <v>347.13940000000002</v>
      </c>
      <c r="E640">
        <v>358.11407000000003</v>
      </c>
      <c r="F640">
        <v>0</v>
      </c>
    </row>
    <row r="641" spans="1:6" x14ac:dyDescent="0.3">
      <c r="A641" s="51">
        <v>45990.636157407411</v>
      </c>
      <c r="B641">
        <v>2580</v>
      </c>
      <c r="C641">
        <v>1.2663</v>
      </c>
      <c r="D641">
        <v>0</v>
      </c>
      <c r="E641">
        <v>0</v>
      </c>
      <c r="F641">
        <v>1</v>
      </c>
    </row>
    <row r="642" spans="1:6" x14ac:dyDescent="0.3">
      <c r="A642" s="51">
        <v>45990.636273148149</v>
      </c>
      <c r="B642">
        <v>2590</v>
      </c>
      <c r="C642">
        <v>1.28</v>
      </c>
      <c r="D642">
        <v>0</v>
      </c>
      <c r="E642">
        <v>0</v>
      </c>
      <c r="F642">
        <v>1</v>
      </c>
    </row>
    <row r="643" spans="1:6" x14ac:dyDescent="0.3">
      <c r="A643" s="51">
        <v>45990.636388888888</v>
      </c>
      <c r="B643">
        <v>2600</v>
      </c>
      <c r="C643">
        <v>1.2849999999999999</v>
      </c>
      <c r="D643">
        <v>0</v>
      </c>
      <c r="E643">
        <v>0</v>
      </c>
      <c r="F643">
        <v>1</v>
      </c>
    </row>
    <row r="644" spans="1:6" x14ac:dyDescent="0.3">
      <c r="A644" s="51">
        <v>45990.636504629627</v>
      </c>
      <c r="B644">
        <v>2610</v>
      </c>
      <c r="C644">
        <v>1.2911999999999999</v>
      </c>
      <c r="D644">
        <v>0</v>
      </c>
      <c r="E644">
        <v>0</v>
      </c>
      <c r="F644">
        <v>1</v>
      </c>
    </row>
    <row r="645" spans="1:6" x14ac:dyDescent="0.3">
      <c r="A645" s="51">
        <v>45990.636620370373</v>
      </c>
      <c r="B645">
        <v>2620</v>
      </c>
      <c r="C645">
        <v>1.2962</v>
      </c>
      <c r="D645">
        <v>0</v>
      </c>
      <c r="E645">
        <v>0</v>
      </c>
      <c r="F645">
        <v>1</v>
      </c>
    </row>
    <row r="646" spans="1:6" x14ac:dyDescent="0.3">
      <c r="A646" s="51">
        <v>45990.636736111112</v>
      </c>
      <c r="B646">
        <v>2630</v>
      </c>
      <c r="C646">
        <v>1.3</v>
      </c>
      <c r="D646">
        <v>0</v>
      </c>
      <c r="E646">
        <v>0</v>
      </c>
      <c r="F646">
        <v>1</v>
      </c>
    </row>
    <row r="647" spans="1:6" x14ac:dyDescent="0.3">
      <c r="A647" s="51">
        <v>45990.63685185185</v>
      </c>
      <c r="B647">
        <v>2640</v>
      </c>
      <c r="C647">
        <v>1.0638000000000001</v>
      </c>
      <c r="D647">
        <v>357.16410000000002</v>
      </c>
      <c r="E647">
        <v>379.98840000000001</v>
      </c>
      <c r="F647">
        <v>0</v>
      </c>
    </row>
    <row r="648" spans="1:6" x14ac:dyDescent="0.3">
      <c r="A648" s="51">
        <v>45990.636967592596</v>
      </c>
      <c r="B648">
        <v>2650</v>
      </c>
      <c r="C648">
        <v>1.0511999999999999</v>
      </c>
      <c r="D648">
        <v>353.43920000000003</v>
      </c>
      <c r="E648">
        <v>371.86365000000001</v>
      </c>
      <c r="F648">
        <v>0</v>
      </c>
    </row>
    <row r="649" spans="1:6" x14ac:dyDescent="0.3">
      <c r="A649" s="51">
        <v>45990.637083333335</v>
      </c>
      <c r="B649">
        <v>2660</v>
      </c>
      <c r="C649">
        <v>1.0462</v>
      </c>
      <c r="D649">
        <v>351.5643</v>
      </c>
      <c r="E649">
        <v>367.48876999999999</v>
      </c>
      <c r="F649">
        <v>0</v>
      </c>
    </row>
    <row r="650" spans="1:6" x14ac:dyDescent="0.3">
      <c r="A650" s="51">
        <v>45990.637199074074</v>
      </c>
      <c r="B650">
        <v>2670</v>
      </c>
      <c r="C650">
        <v>1.0425</v>
      </c>
      <c r="D650">
        <v>350.3143</v>
      </c>
      <c r="E650">
        <v>364.98885999999999</v>
      </c>
      <c r="F650">
        <v>0</v>
      </c>
    </row>
    <row r="651" spans="1:6" x14ac:dyDescent="0.3">
      <c r="A651" s="51">
        <v>45990.637314814812</v>
      </c>
      <c r="B651">
        <v>2680</v>
      </c>
      <c r="C651">
        <v>1.0387</v>
      </c>
      <c r="D651">
        <v>349.38929999999999</v>
      </c>
      <c r="E651">
        <v>362.48894999999999</v>
      </c>
      <c r="F651">
        <v>0</v>
      </c>
    </row>
    <row r="652" spans="1:6" x14ac:dyDescent="0.3">
      <c r="A652" s="51">
        <v>45990.637430555558</v>
      </c>
      <c r="B652">
        <v>2690</v>
      </c>
      <c r="C652">
        <v>1.0375000000000001</v>
      </c>
      <c r="D652">
        <v>348.63929999999999</v>
      </c>
      <c r="E652">
        <v>361.23898000000003</v>
      </c>
      <c r="F652">
        <v>0</v>
      </c>
    </row>
    <row r="653" spans="1:6" x14ac:dyDescent="0.3">
      <c r="A653" s="51">
        <v>45990.637546296297</v>
      </c>
      <c r="B653">
        <v>2700</v>
      </c>
      <c r="C653">
        <v>1.0362</v>
      </c>
      <c r="D653">
        <v>348.0394</v>
      </c>
      <c r="E653">
        <v>360.61398000000003</v>
      </c>
      <c r="F653">
        <v>0</v>
      </c>
    </row>
    <row r="654" spans="1:6" x14ac:dyDescent="0.3">
      <c r="A654" s="51">
        <v>45990.637662037036</v>
      </c>
      <c r="B654">
        <v>2710</v>
      </c>
      <c r="C654">
        <v>1.0337000000000001</v>
      </c>
      <c r="D654">
        <v>347.48939999999999</v>
      </c>
      <c r="E654">
        <v>359.36403999999999</v>
      </c>
      <c r="F654">
        <v>0</v>
      </c>
    </row>
    <row r="655" spans="1:6" x14ac:dyDescent="0.3">
      <c r="A655" s="51">
        <v>45990.637777777774</v>
      </c>
      <c r="B655">
        <v>2720</v>
      </c>
      <c r="C655">
        <v>1.0325</v>
      </c>
      <c r="D655">
        <v>347.01440000000002</v>
      </c>
      <c r="E655">
        <v>358.11407000000003</v>
      </c>
      <c r="F655">
        <v>0</v>
      </c>
    </row>
    <row r="656" spans="1:6" x14ac:dyDescent="0.3">
      <c r="A656" s="51">
        <v>45990.63789351852</v>
      </c>
      <c r="B656">
        <v>2730</v>
      </c>
      <c r="C656">
        <v>1.0313000000000001</v>
      </c>
      <c r="D656">
        <v>346.63940000000002</v>
      </c>
      <c r="E656">
        <v>357.48907000000003</v>
      </c>
      <c r="F656">
        <v>0</v>
      </c>
    </row>
    <row r="657" spans="1:6" x14ac:dyDescent="0.3">
      <c r="A657" s="51">
        <v>45990.638009259259</v>
      </c>
      <c r="B657">
        <v>2740</v>
      </c>
      <c r="C657">
        <v>1.03</v>
      </c>
      <c r="D657">
        <v>346.2894</v>
      </c>
      <c r="E657">
        <v>356.23914000000002</v>
      </c>
      <c r="F657">
        <v>0</v>
      </c>
    </row>
    <row r="658" spans="1:6" x14ac:dyDescent="0.3">
      <c r="A658" s="51">
        <v>45990.638124999998</v>
      </c>
      <c r="B658">
        <v>2750</v>
      </c>
      <c r="C658">
        <v>1.0286999999999999</v>
      </c>
      <c r="D658">
        <v>345.96440000000001</v>
      </c>
      <c r="E658">
        <v>356.23914000000002</v>
      </c>
      <c r="F658">
        <v>0</v>
      </c>
    </row>
    <row r="659" spans="1:6" x14ac:dyDescent="0.3">
      <c r="A659" s="51">
        <v>45990.638240740744</v>
      </c>
      <c r="B659">
        <v>2760</v>
      </c>
      <c r="C659">
        <v>1.0286999999999999</v>
      </c>
      <c r="D659">
        <v>345.63940000000002</v>
      </c>
      <c r="E659">
        <v>355.61414000000002</v>
      </c>
      <c r="F659">
        <v>0</v>
      </c>
    </row>
    <row r="660" spans="1:6" x14ac:dyDescent="0.3">
      <c r="A660" s="51">
        <v>45990.638356481482</v>
      </c>
      <c r="B660">
        <v>2770</v>
      </c>
      <c r="C660">
        <v>1.0275000000000001</v>
      </c>
      <c r="D660">
        <v>345.36439999999999</v>
      </c>
      <c r="E660">
        <v>354.98917</v>
      </c>
      <c r="F660">
        <v>0</v>
      </c>
    </row>
    <row r="661" spans="1:6" x14ac:dyDescent="0.3">
      <c r="A661" s="51">
        <v>45990.638472222221</v>
      </c>
      <c r="B661">
        <v>2780</v>
      </c>
      <c r="C661">
        <v>1.0263</v>
      </c>
      <c r="D661">
        <v>345.08940000000001</v>
      </c>
      <c r="E661">
        <v>354.36419999999998</v>
      </c>
      <c r="F661">
        <v>0</v>
      </c>
    </row>
    <row r="662" spans="1:6" x14ac:dyDescent="0.3">
      <c r="A662" s="51">
        <v>45990.63858796296</v>
      </c>
      <c r="B662">
        <v>2790</v>
      </c>
      <c r="C662">
        <v>1.0263</v>
      </c>
      <c r="D662">
        <v>344.83949999999999</v>
      </c>
      <c r="E662">
        <v>354.36419999999998</v>
      </c>
      <c r="F662">
        <v>0</v>
      </c>
    </row>
    <row r="663" spans="1:6" x14ac:dyDescent="0.3">
      <c r="A663" s="51">
        <v>45990.638703703706</v>
      </c>
      <c r="B663">
        <v>2800</v>
      </c>
      <c r="C663">
        <v>1.0249999999999999</v>
      </c>
      <c r="D663">
        <v>344.61450000000002</v>
      </c>
      <c r="E663">
        <v>353.11423000000002</v>
      </c>
      <c r="F663">
        <v>0</v>
      </c>
    </row>
    <row r="664" spans="1:6" x14ac:dyDescent="0.3">
      <c r="A664" s="51">
        <v>45990.638819444444</v>
      </c>
      <c r="B664">
        <v>2810</v>
      </c>
      <c r="C664">
        <v>1.0249999999999999</v>
      </c>
      <c r="D664">
        <v>344.33949999999999</v>
      </c>
      <c r="E664">
        <v>353.11423000000002</v>
      </c>
      <c r="F664">
        <v>0</v>
      </c>
    </row>
    <row r="665" spans="1:6" x14ac:dyDescent="0.3">
      <c r="A665" s="51">
        <v>45990.638935185183</v>
      </c>
      <c r="B665">
        <v>2820</v>
      </c>
      <c r="C665">
        <v>1.26</v>
      </c>
      <c r="D665">
        <v>0</v>
      </c>
      <c r="E665">
        <v>0</v>
      </c>
      <c r="F665">
        <v>1</v>
      </c>
    </row>
    <row r="666" spans="1:6" x14ac:dyDescent="0.3">
      <c r="A666" s="51">
        <v>45990.639050925929</v>
      </c>
      <c r="B666">
        <v>2830</v>
      </c>
      <c r="C666">
        <v>1.2737000000000001</v>
      </c>
      <c r="D666">
        <v>0</v>
      </c>
      <c r="E666">
        <v>0</v>
      </c>
      <c r="F666">
        <v>1</v>
      </c>
    </row>
    <row r="667" spans="1:6" x14ac:dyDescent="0.3">
      <c r="A667" s="51">
        <v>45990.639166666668</v>
      </c>
      <c r="B667">
        <v>2840</v>
      </c>
      <c r="C667">
        <v>1.2786999999999999</v>
      </c>
      <c r="D667">
        <v>0</v>
      </c>
      <c r="E667">
        <v>0</v>
      </c>
      <c r="F667">
        <v>1</v>
      </c>
    </row>
    <row r="668" spans="1:6" x14ac:dyDescent="0.3">
      <c r="A668" s="51">
        <v>45990.639282407406</v>
      </c>
      <c r="B668">
        <v>2850</v>
      </c>
      <c r="C668">
        <v>1.2849999999999999</v>
      </c>
      <c r="D668">
        <v>0</v>
      </c>
      <c r="E668">
        <v>0</v>
      </c>
      <c r="F668">
        <v>1</v>
      </c>
    </row>
    <row r="669" spans="1:6" x14ac:dyDescent="0.3">
      <c r="A669" s="51">
        <v>45990.639398148145</v>
      </c>
      <c r="B669">
        <v>2860</v>
      </c>
      <c r="C669">
        <v>1.29</v>
      </c>
      <c r="D669">
        <v>0</v>
      </c>
      <c r="E669">
        <v>0</v>
      </c>
      <c r="F669">
        <v>1</v>
      </c>
    </row>
    <row r="670" spans="1:6" x14ac:dyDescent="0.3">
      <c r="A670" s="51">
        <v>45990.639513888891</v>
      </c>
      <c r="B670">
        <v>2870</v>
      </c>
      <c r="C670">
        <v>1.2937000000000001</v>
      </c>
      <c r="D670">
        <v>0</v>
      </c>
      <c r="E670">
        <v>0</v>
      </c>
      <c r="F670">
        <v>1</v>
      </c>
    </row>
    <row r="671" spans="1:6" x14ac:dyDescent="0.3">
      <c r="A671" s="51">
        <v>45990.63962962963</v>
      </c>
      <c r="B671">
        <v>2880</v>
      </c>
      <c r="C671">
        <v>1.0549999999999999</v>
      </c>
      <c r="D671">
        <v>354.23919999999998</v>
      </c>
      <c r="E671">
        <v>373.73858999999999</v>
      </c>
      <c r="F671">
        <v>0</v>
      </c>
    </row>
    <row r="672" spans="1:6" x14ac:dyDescent="0.3">
      <c r="A672" s="51">
        <v>45990.639745370368</v>
      </c>
      <c r="B672">
        <v>2890</v>
      </c>
      <c r="C672">
        <v>1.0425</v>
      </c>
      <c r="D672">
        <v>350.53930000000003</v>
      </c>
      <c r="E672">
        <v>365.61383000000001</v>
      </c>
      <c r="F672">
        <v>0</v>
      </c>
    </row>
    <row r="673" spans="1:6" x14ac:dyDescent="0.3">
      <c r="A673" s="51">
        <v>45990.639861111114</v>
      </c>
      <c r="B673">
        <v>2900</v>
      </c>
      <c r="C673">
        <v>1.0387</v>
      </c>
      <c r="D673">
        <v>348.71440000000001</v>
      </c>
      <c r="E673">
        <v>361.86394999999999</v>
      </c>
      <c r="F673">
        <v>0</v>
      </c>
    </row>
    <row r="674" spans="1:6" x14ac:dyDescent="0.3">
      <c r="A674" s="51">
        <v>45990.639976851853</v>
      </c>
      <c r="B674">
        <v>2910</v>
      </c>
      <c r="C674">
        <v>1.0337000000000001</v>
      </c>
      <c r="D674">
        <v>347.48939999999999</v>
      </c>
      <c r="E674">
        <v>359.36403999999999</v>
      </c>
      <c r="F674">
        <v>0</v>
      </c>
    </row>
    <row r="675" spans="1:6" x14ac:dyDescent="0.3">
      <c r="A675" s="51">
        <v>45990.640092592592</v>
      </c>
      <c r="B675">
        <v>2920</v>
      </c>
      <c r="C675">
        <v>1.0313000000000001</v>
      </c>
      <c r="D675">
        <v>346.56439999999998</v>
      </c>
      <c r="E675">
        <v>357.48907000000003</v>
      </c>
      <c r="F675">
        <v>0</v>
      </c>
    </row>
    <row r="676" spans="1:6" x14ac:dyDescent="0.3">
      <c r="A676" s="51">
        <v>45990.640208333331</v>
      </c>
      <c r="B676">
        <v>2930</v>
      </c>
      <c r="C676">
        <v>1.0286999999999999</v>
      </c>
      <c r="D676">
        <v>345.83940000000001</v>
      </c>
      <c r="E676">
        <v>355.61414000000002</v>
      </c>
      <c r="F676">
        <v>0</v>
      </c>
    </row>
    <row r="677" spans="1:6" x14ac:dyDescent="0.3">
      <c r="A677" s="51">
        <v>45990.640324074076</v>
      </c>
      <c r="B677">
        <v>2940</v>
      </c>
      <c r="C677">
        <v>1.0275000000000001</v>
      </c>
      <c r="D677">
        <v>345.23939999999999</v>
      </c>
      <c r="E677">
        <v>354.36419999999998</v>
      </c>
      <c r="F677">
        <v>0</v>
      </c>
    </row>
    <row r="678" spans="1:6" x14ac:dyDescent="0.3">
      <c r="A678" s="51">
        <v>45990.640439814815</v>
      </c>
      <c r="B678">
        <v>2950</v>
      </c>
      <c r="C678">
        <v>1.0249999999999999</v>
      </c>
      <c r="D678">
        <v>344.73950000000002</v>
      </c>
      <c r="E678">
        <v>353.11423000000002</v>
      </c>
      <c r="F678">
        <v>0</v>
      </c>
    </row>
    <row r="679" spans="1:6" x14ac:dyDescent="0.3">
      <c r="A679" s="51">
        <v>45990.640555555554</v>
      </c>
      <c r="B679">
        <v>2960</v>
      </c>
      <c r="C679">
        <v>1.0237000000000001</v>
      </c>
      <c r="D679">
        <v>344.2645</v>
      </c>
      <c r="E679">
        <v>352.48926</v>
      </c>
      <c r="F679">
        <v>0</v>
      </c>
    </row>
    <row r="680" spans="1:6" x14ac:dyDescent="0.3">
      <c r="A680" s="51">
        <v>45990.6406712963</v>
      </c>
      <c r="B680">
        <v>2970</v>
      </c>
      <c r="C680">
        <v>1.0225</v>
      </c>
      <c r="D680">
        <v>343.86450000000002</v>
      </c>
      <c r="E680">
        <v>351.86426</v>
      </c>
      <c r="F680">
        <v>0</v>
      </c>
    </row>
    <row r="681" spans="1:6" x14ac:dyDescent="0.3">
      <c r="A681" s="51">
        <v>45990.640787037039</v>
      </c>
      <c r="B681">
        <v>2980</v>
      </c>
      <c r="C681">
        <v>1.0213000000000001</v>
      </c>
      <c r="D681">
        <v>343.5145</v>
      </c>
      <c r="E681">
        <v>351.23928999999998</v>
      </c>
      <c r="F681">
        <v>0</v>
      </c>
    </row>
    <row r="682" spans="1:6" x14ac:dyDescent="0.3">
      <c r="A682" s="51">
        <v>45990.640902777777</v>
      </c>
      <c r="B682">
        <v>2990</v>
      </c>
      <c r="C682">
        <v>1.02</v>
      </c>
      <c r="D682">
        <v>343.18950000000001</v>
      </c>
      <c r="E682">
        <v>349.98932000000002</v>
      </c>
      <c r="F682">
        <v>0</v>
      </c>
    </row>
    <row r="683" spans="1:6" x14ac:dyDescent="0.3">
      <c r="A683" s="51">
        <v>45990.641018518516</v>
      </c>
      <c r="B683">
        <v>3000</v>
      </c>
      <c r="C683">
        <v>1.02</v>
      </c>
      <c r="D683">
        <v>342.86450000000002</v>
      </c>
      <c r="E683">
        <v>349.36435</v>
      </c>
      <c r="F683">
        <v>0</v>
      </c>
    </row>
    <row r="684" spans="1:6" x14ac:dyDescent="0.3">
      <c r="A684" s="51">
        <v>45990.641134259262</v>
      </c>
      <c r="B684">
        <v>3010</v>
      </c>
      <c r="C684">
        <v>1.0186999999999999</v>
      </c>
      <c r="D684">
        <v>342.56450000000001</v>
      </c>
      <c r="E684">
        <v>349.36435</v>
      </c>
      <c r="F684">
        <v>0</v>
      </c>
    </row>
    <row r="685" spans="1:6" x14ac:dyDescent="0.3">
      <c r="A685" s="51">
        <v>45990.641250000001</v>
      </c>
      <c r="B685">
        <v>3020</v>
      </c>
      <c r="C685">
        <v>1.0186999999999999</v>
      </c>
      <c r="D685">
        <v>342.28960000000001</v>
      </c>
      <c r="E685">
        <v>348.11437999999998</v>
      </c>
      <c r="F685">
        <v>0</v>
      </c>
    </row>
    <row r="686" spans="1:6" x14ac:dyDescent="0.3">
      <c r="A686" s="51">
        <v>45990.641365740739</v>
      </c>
      <c r="B686">
        <v>3030</v>
      </c>
      <c r="C686">
        <v>1.0175000000000001</v>
      </c>
      <c r="D686">
        <v>342.03960000000001</v>
      </c>
      <c r="E686">
        <v>348.11437999999998</v>
      </c>
      <c r="F686">
        <v>0</v>
      </c>
    </row>
    <row r="687" spans="1:6" x14ac:dyDescent="0.3">
      <c r="A687" s="51">
        <v>45990.641481481478</v>
      </c>
      <c r="B687">
        <v>3040</v>
      </c>
      <c r="C687">
        <v>1.0163</v>
      </c>
      <c r="D687">
        <v>341.76459999999997</v>
      </c>
      <c r="E687">
        <v>347.48937999999998</v>
      </c>
      <c r="F687">
        <v>0</v>
      </c>
    </row>
    <row r="688" spans="1:6" x14ac:dyDescent="0.3">
      <c r="A688" s="51">
        <v>45990.641597222224</v>
      </c>
      <c r="B688">
        <v>3050</v>
      </c>
      <c r="C688">
        <v>1.0163</v>
      </c>
      <c r="D688">
        <v>341.53960000000001</v>
      </c>
      <c r="E688">
        <v>346.86441000000002</v>
      </c>
      <c r="F688">
        <v>0</v>
      </c>
    </row>
    <row r="689" spans="1:6" x14ac:dyDescent="0.3">
      <c r="A689" s="51">
        <v>45990.641712962963</v>
      </c>
      <c r="B689">
        <v>3060</v>
      </c>
      <c r="C689">
        <v>1.2549999999999999</v>
      </c>
      <c r="D689">
        <v>0</v>
      </c>
      <c r="E689">
        <v>0</v>
      </c>
      <c r="F689">
        <v>1</v>
      </c>
    </row>
    <row r="690" spans="1:6" x14ac:dyDescent="0.3">
      <c r="A690" s="51">
        <v>45990.641828703701</v>
      </c>
      <c r="B690">
        <v>3070</v>
      </c>
      <c r="C690">
        <v>1.2675000000000001</v>
      </c>
      <c r="D690">
        <v>0</v>
      </c>
      <c r="E690">
        <v>0</v>
      </c>
      <c r="F690">
        <v>1</v>
      </c>
    </row>
    <row r="691" spans="1:6" x14ac:dyDescent="0.3">
      <c r="A691" s="51">
        <v>45990.641944444447</v>
      </c>
      <c r="B691">
        <v>3080</v>
      </c>
      <c r="C691">
        <v>1.2749999999999999</v>
      </c>
      <c r="D691">
        <v>0</v>
      </c>
      <c r="E691">
        <v>0</v>
      </c>
      <c r="F691">
        <v>1</v>
      </c>
    </row>
    <row r="692" spans="1:6" x14ac:dyDescent="0.3">
      <c r="A692" s="51">
        <v>45990.642060185186</v>
      </c>
      <c r="B692">
        <v>3090</v>
      </c>
      <c r="C692">
        <v>1.2786999999999999</v>
      </c>
      <c r="D692">
        <v>0</v>
      </c>
      <c r="E692">
        <v>0</v>
      </c>
      <c r="F692">
        <v>1</v>
      </c>
    </row>
    <row r="693" spans="1:6" x14ac:dyDescent="0.3">
      <c r="A693" s="51">
        <v>45990.642175925925</v>
      </c>
      <c r="B693">
        <v>3100</v>
      </c>
      <c r="C693">
        <v>1.2837000000000001</v>
      </c>
      <c r="D693">
        <v>0</v>
      </c>
      <c r="E693">
        <v>0</v>
      </c>
      <c r="F693">
        <v>1</v>
      </c>
    </row>
    <row r="694" spans="1:6" x14ac:dyDescent="0.3">
      <c r="A694" s="51">
        <v>45990.642291666663</v>
      </c>
      <c r="B694">
        <v>3110</v>
      </c>
      <c r="C694">
        <v>1.2875000000000001</v>
      </c>
      <c r="D694">
        <v>0</v>
      </c>
      <c r="E694">
        <v>0</v>
      </c>
      <c r="F694">
        <v>1</v>
      </c>
    </row>
    <row r="695" spans="1:6" x14ac:dyDescent="0.3">
      <c r="A695" s="51">
        <v>45990.642407407409</v>
      </c>
      <c r="B695">
        <v>3120</v>
      </c>
      <c r="C695">
        <v>1.0449999999999999</v>
      </c>
      <c r="D695">
        <v>351.3143</v>
      </c>
      <c r="E695">
        <v>366.86380000000003</v>
      </c>
      <c r="F695">
        <v>0</v>
      </c>
    </row>
    <row r="696" spans="1:6" x14ac:dyDescent="0.3">
      <c r="A696" s="51">
        <v>45990.642523148148</v>
      </c>
      <c r="B696">
        <v>3130</v>
      </c>
      <c r="C696">
        <v>1.0349999999999999</v>
      </c>
      <c r="D696">
        <v>347.6644</v>
      </c>
      <c r="E696">
        <v>359.36403999999999</v>
      </c>
      <c r="F696">
        <v>0</v>
      </c>
    </row>
    <row r="697" spans="1:6" x14ac:dyDescent="0.3">
      <c r="A697" s="51">
        <v>45990.642638888887</v>
      </c>
      <c r="B697">
        <v>3140</v>
      </c>
      <c r="C697">
        <v>1.03</v>
      </c>
      <c r="D697">
        <v>345.86439999999999</v>
      </c>
      <c r="E697">
        <v>356.23914000000002</v>
      </c>
      <c r="F697">
        <v>0</v>
      </c>
    </row>
    <row r="698" spans="1:6" x14ac:dyDescent="0.3">
      <c r="A698" s="51">
        <v>45990.642754629633</v>
      </c>
      <c r="B698">
        <v>3150</v>
      </c>
      <c r="C698">
        <v>1.0249999999999999</v>
      </c>
      <c r="D698">
        <v>344.66449999999998</v>
      </c>
      <c r="E698">
        <v>353.11423000000002</v>
      </c>
      <c r="F698">
        <v>0</v>
      </c>
    </row>
    <row r="699" spans="1:6" x14ac:dyDescent="0.3">
      <c r="A699" s="51">
        <v>45990.642870370371</v>
      </c>
      <c r="B699">
        <v>3160</v>
      </c>
      <c r="C699">
        <v>1.0237000000000001</v>
      </c>
      <c r="D699">
        <v>344.03949999999998</v>
      </c>
      <c r="E699">
        <v>352.48926</v>
      </c>
      <c r="F699">
        <v>0</v>
      </c>
    </row>
    <row r="700" spans="1:6" x14ac:dyDescent="0.3">
      <c r="A700" s="51">
        <v>45990.64298611111</v>
      </c>
      <c r="B700">
        <v>3170</v>
      </c>
      <c r="C700">
        <v>1.0213000000000001</v>
      </c>
      <c r="D700">
        <v>343.46449999999999</v>
      </c>
      <c r="E700">
        <v>351.23928999999998</v>
      </c>
      <c r="F700">
        <v>0</v>
      </c>
    </row>
    <row r="701" spans="1:6" x14ac:dyDescent="0.3">
      <c r="A701" s="51">
        <v>45990.643101851849</v>
      </c>
      <c r="B701">
        <v>3180</v>
      </c>
      <c r="C701">
        <v>1.02</v>
      </c>
      <c r="D701">
        <v>342.86450000000002</v>
      </c>
      <c r="E701">
        <v>349.36435</v>
      </c>
      <c r="F701">
        <v>0</v>
      </c>
    </row>
    <row r="702" spans="1:6" x14ac:dyDescent="0.3">
      <c r="A702" s="51">
        <v>45990.643217592595</v>
      </c>
      <c r="B702">
        <v>3190</v>
      </c>
      <c r="C702">
        <v>1.0186999999999999</v>
      </c>
      <c r="D702">
        <v>342.33949999999999</v>
      </c>
      <c r="E702">
        <v>349.36435</v>
      </c>
      <c r="F702">
        <v>0</v>
      </c>
    </row>
    <row r="703" spans="1:6" x14ac:dyDescent="0.3">
      <c r="A703" s="51">
        <v>45990.643333333333</v>
      </c>
      <c r="B703">
        <v>3200</v>
      </c>
      <c r="C703">
        <v>1.0175000000000001</v>
      </c>
      <c r="D703">
        <v>341.91460000000001</v>
      </c>
      <c r="E703">
        <v>348.11437999999998</v>
      </c>
      <c r="F703">
        <v>0</v>
      </c>
    </row>
    <row r="704" spans="1:6" x14ac:dyDescent="0.3">
      <c r="A704" s="51">
        <v>45990.643449074072</v>
      </c>
      <c r="B704">
        <v>3210</v>
      </c>
      <c r="C704">
        <v>1.0163</v>
      </c>
      <c r="D704">
        <v>341.4896</v>
      </c>
      <c r="E704">
        <v>346.86441000000002</v>
      </c>
      <c r="F704">
        <v>0</v>
      </c>
    </row>
    <row r="705" spans="1:6" x14ac:dyDescent="0.3">
      <c r="A705" s="51">
        <v>45990.643564814818</v>
      </c>
      <c r="B705">
        <v>3220</v>
      </c>
      <c r="C705">
        <v>1.0149999999999999</v>
      </c>
      <c r="D705">
        <v>341.13959999999997</v>
      </c>
      <c r="E705">
        <v>346.23944</v>
      </c>
      <c r="F705">
        <v>0</v>
      </c>
    </row>
    <row r="706" spans="1:6" x14ac:dyDescent="0.3">
      <c r="A706" s="51">
        <v>45990.643680555557</v>
      </c>
      <c r="B706">
        <v>3230</v>
      </c>
      <c r="C706">
        <v>1.0137</v>
      </c>
      <c r="D706">
        <v>340.81459999999998</v>
      </c>
      <c r="E706">
        <v>344.98946999999998</v>
      </c>
      <c r="F706">
        <v>0</v>
      </c>
    </row>
    <row r="707" spans="1:6" x14ac:dyDescent="0.3">
      <c r="A707" s="51">
        <v>45990.643796296295</v>
      </c>
      <c r="B707">
        <v>3240</v>
      </c>
      <c r="C707">
        <v>1.0125</v>
      </c>
      <c r="D707">
        <v>340.4896</v>
      </c>
      <c r="E707">
        <v>344.98946999999998</v>
      </c>
      <c r="F707">
        <v>0</v>
      </c>
    </row>
    <row r="708" spans="1:6" x14ac:dyDescent="0.3">
      <c r="A708" s="51">
        <v>45990.643912037034</v>
      </c>
      <c r="B708">
        <v>3250</v>
      </c>
      <c r="C708">
        <v>1.0113000000000001</v>
      </c>
      <c r="D708">
        <v>340.18959999999998</v>
      </c>
      <c r="E708">
        <v>344.36450000000002</v>
      </c>
      <c r="F708">
        <v>0</v>
      </c>
    </row>
    <row r="709" spans="1:6" x14ac:dyDescent="0.3">
      <c r="A709" s="51">
        <v>45990.64402777778</v>
      </c>
      <c r="B709">
        <v>3260</v>
      </c>
      <c r="C709">
        <v>1.01</v>
      </c>
      <c r="D709">
        <v>339.91460000000001</v>
      </c>
      <c r="E709">
        <v>343.73950000000002</v>
      </c>
      <c r="F709">
        <v>0</v>
      </c>
    </row>
    <row r="710" spans="1:6" x14ac:dyDescent="0.3">
      <c r="A710" s="51">
        <v>45990.644143518519</v>
      </c>
      <c r="B710">
        <v>3270</v>
      </c>
      <c r="C710">
        <v>1.01</v>
      </c>
      <c r="D710">
        <v>339.63959999999997</v>
      </c>
      <c r="E710">
        <v>343.11453</v>
      </c>
      <c r="F710">
        <v>0</v>
      </c>
    </row>
    <row r="711" spans="1:6" x14ac:dyDescent="0.3">
      <c r="A711" s="51">
        <v>45990.644259259258</v>
      </c>
      <c r="B711">
        <v>3280</v>
      </c>
      <c r="C711">
        <v>1.01</v>
      </c>
      <c r="D711">
        <v>339.3646</v>
      </c>
      <c r="E711">
        <v>343.11453</v>
      </c>
      <c r="F711">
        <v>0</v>
      </c>
    </row>
    <row r="712" spans="1:6" x14ac:dyDescent="0.3">
      <c r="A712" s="51">
        <v>45990.644375000003</v>
      </c>
      <c r="B712">
        <v>3290</v>
      </c>
      <c r="C712">
        <v>1.0086999999999999</v>
      </c>
      <c r="D712">
        <v>339.08960000000002</v>
      </c>
      <c r="E712">
        <v>341.86455999999998</v>
      </c>
      <c r="F712">
        <v>0</v>
      </c>
    </row>
    <row r="713" spans="1:6" x14ac:dyDescent="0.3">
      <c r="A713" s="51">
        <v>45990.644490740742</v>
      </c>
      <c r="B713">
        <v>3300</v>
      </c>
      <c r="C713">
        <v>1.25</v>
      </c>
      <c r="D713">
        <v>0</v>
      </c>
      <c r="E713">
        <v>0</v>
      </c>
      <c r="F713">
        <v>1</v>
      </c>
    </row>
    <row r="714" spans="1:6" x14ac:dyDescent="0.3">
      <c r="A714" s="51">
        <v>45990.644606481481</v>
      </c>
      <c r="B714">
        <v>3310</v>
      </c>
      <c r="C714">
        <v>1.2625</v>
      </c>
      <c r="D714">
        <v>0</v>
      </c>
      <c r="E714">
        <v>0</v>
      </c>
      <c r="F714">
        <v>1</v>
      </c>
    </row>
    <row r="715" spans="1:6" x14ac:dyDescent="0.3">
      <c r="A715" s="51">
        <v>45990.64472222222</v>
      </c>
      <c r="B715">
        <v>3320</v>
      </c>
      <c r="C715">
        <v>1.2686999999999999</v>
      </c>
      <c r="D715">
        <v>0</v>
      </c>
      <c r="E715">
        <v>0</v>
      </c>
      <c r="F715">
        <v>1</v>
      </c>
    </row>
    <row r="716" spans="1:6" x14ac:dyDescent="0.3">
      <c r="A716" s="51">
        <v>45990.644837962966</v>
      </c>
      <c r="B716">
        <v>3330</v>
      </c>
      <c r="C716">
        <v>1.2749999999999999</v>
      </c>
      <c r="D716">
        <v>0</v>
      </c>
      <c r="E716">
        <v>0</v>
      </c>
      <c r="F716">
        <v>1</v>
      </c>
    </row>
    <row r="717" spans="1:6" x14ac:dyDescent="0.3">
      <c r="A717" s="51">
        <v>45990.644953703704</v>
      </c>
      <c r="B717">
        <v>3340</v>
      </c>
      <c r="C717">
        <v>1.28</v>
      </c>
      <c r="D717">
        <v>0</v>
      </c>
      <c r="E717">
        <v>0</v>
      </c>
      <c r="F717">
        <v>1</v>
      </c>
    </row>
    <row r="718" spans="1:6" x14ac:dyDescent="0.3">
      <c r="A718" s="51">
        <v>45990.645069444443</v>
      </c>
      <c r="B718">
        <v>3350</v>
      </c>
      <c r="C718">
        <v>1.2813000000000001</v>
      </c>
      <c r="D718">
        <v>0</v>
      </c>
      <c r="E718">
        <v>0</v>
      </c>
      <c r="F718">
        <v>1</v>
      </c>
    </row>
    <row r="719" spans="1:6" x14ac:dyDescent="0.3">
      <c r="A719" s="51">
        <v>45990.645185185182</v>
      </c>
      <c r="B719">
        <v>3360</v>
      </c>
      <c r="C719">
        <v>1.0387</v>
      </c>
      <c r="D719">
        <v>348.8143</v>
      </c>
      <c r="E719">
        <v>362.48894999999999</v>
      </c>
      <c r="F719">
        <v>0</v>
      </c>
    </row>
    <row r="720" spans="1:6" x14ac:dyDescent="0.3">
      <c r="A720" s="51">
        <v>45990.645300925928</v>
      </c>
      <c r="B720">
        <v>3370</v>
      </c>
      <c r="C720">
        <v>1.0275000000000001</v>
      </c>
      <c r="D720">
        <v>345.03949999999998</v>
      </c>
      <c r="E720">
        <v>354.36419999999998</v>
      </c>
      <c r="F720">
        <v>0</v>
      </c>
    </row>
    <row r="721" spans="1:6" x14ac:dyDescent="0.3">
      <c r="A721" s="51">
        <v>45990.645416666666</v>
      </c>
      <c r="B721">
        <v>3380</v>
      </c>
      <c r="C721">
        <v>1.0213000000000001</v>
      </c>
      <c r="D721">
        <v>343.28949999999998</v>
      </c>
      <c r="E721">
        <v>349.98932000000002</v>
      </c>
      <c r="F721">
        <v>0</v>
      </c>
    </row>
    <row r="722" spans="1:6" x14ac:dyDescent="0.3">
      <c r="A722" s="51">
        <v>45990.645532407405</v>
      </c>
      <c r="B722">
        <v>3390</v>
      </c>
      <c r="C722">
        <v>1.0175000000000001</v>
      </c>
      <c r="D722">
        <v>342.08949999999999</v>
      </c>
      <c r="E722">
        <v>348.11437999999998</v>
      </c>
      <c r="F722">
        <v>0</v>
      </c>
    </row>
    <row r="723" spans="1:6" x14ac:dyDescent="0.3">
      <c r="A723" s="51">
        <v>45990.645648148151</v>
      </c>
      <c r="B723">
        <v>3400</v>
      </c>
      <c r="C723">
        <v>1.0149999999999999</v>
      </c>
      <c r="D723">
        <v>341.18959999999998</v>
      </c>
      <c r="E723">
        <v>346.23944</v>
      </c>
      <c r="F723">
        <v>0</v>
      </c>
    </row>
    <row r="724" spans="1:6" x14ac:dyDescent="0.3">
      <c r="A724" s="51">
        <v>45990.64576388889</v>
      </c>
      <c r="B724">
        <v>3410</v>
      </c>
      <c r="C724">
        <v>1.0125</v>
      </c>
      <c r="D724">
        <v>340.46460000000002</v>
      </c>
      <c r="E724">
        <v>344.98946999999998</v>
      </c>
      <c r="F724">
        <v>0</v>
      </c>
    </row>
    <row r="725" spans="1:6" x14ac:dyDescent="0.3">
      <c r="A725" s="51">
        <v>45990.645879629628</v>
      </c>
      <c r="B725">
        <v>3420</v>
      </c>
      <c r="C725">
        <v>1.01</v>
      </c>
      <c r="D725">
        <v>339.83960000000002</v>
      </c>
      <c r="E725">
        <v>343.73950000000002</v>
      </c>
      <c r="F725">
        <v>0</v>
      </c>
    </row>
    <row r="726" spans="1:6" x14ac:dyDescent="0.3">
      <c r="A726" s="51">
        <v>45990.645995370367</v>
      </c>
      <c r="B726">
        <v>3430</v>
      </c>
      <c r="C726">
        <v>1.0086999999999999</v>
      </c>
      <c r="D726">
        <v>339.33960000000002</v>
      </c>
      <c r="E726">
        <v>342.48955999999998</v>
      </c>
      <c r="F726">
        <v>0</v>
      </c>
    </row>
    <row r="727" spans="1:6" x14ac:dyDescent="0.3">
      <c r="A727" s="51">
        <v>45990.646111111113</v>
      </c>
      <c r="B727">
        <v>3440</v>
      </c>
      <c r="C727">
        <v>1.0075000000000001</v>
      </c>
      <c r="D727">
        <v>338.86470000000003</v>
      </c>
      <c r="E727">
        <v>341.23959000000002</v>
      </c>
      <c r="F727">
        <v>0</v>
      </c>
    </row>
    <row r="728" spans="1:6" x14ac:dyDescent="0.3">
      <c r="A728" s="51">
        <v>45990.646226851852</v>
      </c>
      <c r="B728">
        <v>3450</v>
      </c>
      <c r="C728">
        <v>1.0063</v>
      </c>
      <c r="D728">
        <v>338.46469999999999</v>
      </c>
      <c r="E728">
        <v>341.23959000000002</v>
      </c>
      <c r="F728">
        <v>0</v>
      </c>
    </row>
    <row r="729" spans="1:6" x14ac:dyDescent="0.3">
      <c r="A729" s="51">
        <v>45990.64634259259</v>
      </c>
      <c r="B729">
        <v>3460</v>
      </c>
      <c r="C729">
        <v>1.0049999999999999</v>
      </c>
      <c r="D729">
        <v>338.08969999999999</v>
      </c>
      <c r="E729">
        <v>339.98962</v>
      </c>
      <c r="F729">
        <v>0</v>
      </c>
    </row>
    <row r="730" spans="1:6" x14ac:dyDescent="0.3">
      <c r="A730" s="51">
        <v>45990.646458333336</v>
      </c>
      <c r="B730">
        <v>3470</v>
      </c>
      <c r="C730">
        <v>1.0049999999999999</v>
      </c>
      <c r="D730">
        <v>337.7647</v>
      </c>
      <c r="E730">
        <v>338.73964999999998</v>
      </c>
      <c r="F730">
        <v>0</v>
      </c>
    </row>
    <row r="731" spans="1:6" x14ac:dyDescent="0.3">
      <c r="A731" s="51">
        <v>45990.646574074075</v>
      </c>
      <c r="B731">
        <v>3480</v>
      </c>
      <c r="C731">
        <v>1.0037</v>
      </c>
      <c r="D731">
        <v>337.43970000000002</v>
      </c>
      <c r="E731">
        <v>338.73964999999998</v>
      </c>
      <c r="F731">
        <v>0</v>
      </c>
    </row>
    <row r="732" spans="1:6" x14ac:dyDescent="0.3">
      <c r="A732" s="51">
        <v>45990.646689814814</v>
      </c>
      <c r="B732">
        <v>3490</v>
      </c>
      <c r="C732">
        <v>1.0024999999999999</v>
      </c>
      <c r="D732">
        <v>337.11470000000003</v>
      </c>
      <c r="E732">
        <v>338.11469</v>
      </c>
      <c r="F732">
        <v>0</v>
      </c>
    </row>
    <row r="733" spans="1:6" x14ac:dyDescent="0.3">
      <c r="A733" s="51">
        <v>45990.646805555552</v>
      </c>
      <c r="B733">
        <v>3500</v>
      </c>
      <c r="C733">
        <v>1.0013000000000001</v>
      </c>
      <c r="D733">
        <v>336.81470000000002</v>
      </c>
      <c r="E733">
        <v>337.48969</v>
      </c>
      <c r="F733">
        <v>0</v>
      </c>
    </row>
    <row r="734" spans="1:6" x14ac:dyDescent="0.3">
      <c r="A734" s="51">
        <v>45990.646921296298</v>
      </c>
      <c r="B734">
        <v>3510</v>
      </c>
      <c r="C734">
        <v>1</v>
      </c>
      <c r="D734">
        <v>336.56470000000002</v>
      </c>
      <c r="E734">
        <v>336.86471999999998</v>
      </c>
      <c r="F734">
        <v>0</v>
      </c>
    </row>
    <row r="735" spans="1:6" x14ac:dyDescent="0.3">
      <c r="A735" s="51">
        <v>45990.647037037037</v>
      </c>
      <c r="B735">
        <v>3520</v>
      </c>
      <c r="C735">
        <v>1</v>
      </c>
      <c r="D735">
        <v>336.33969999999999</v>
      </c>
      <c r="E735">
        <v>336.23975000000002</v>
      </c>
      <c r="F735">
        <v>0</v>
      </c>
    </row>
    <row r="736" spans="1:6" x14ac:dyDescent="0.3">
      <c r="A736" s="51">
        <v>45990.647152777776</v>
      </c>
      <c r="B736">
        <v>3530</v>
      </c>
      <c r="C736">
        <v>0.99870000000000003</v>
      </c>
      <c r="D736">
        <v>336.06470000000002</v>
      </c>
      <c r="E736">
        <v>335.61475000000002</v>
      </c>
      <c r="F736">
        <v>0</v>
      </c>
    </row>
    <row r="737" spans="1:6" x14ac:dyDescent="0.3">
      <c r="A737" s="51">
        <v>45990.647268518522</v>
      </c>
      <c r="B737">
        <v>3540</v>
      </c>
      <c r="C737">
        <v>1.2450000000000001</v>
      </c>
      <c r="D737">
        <v>0</v>
      </c>
      <c r="E737">
        <v>0</v>
      </c>
      <c r="F737">
        <v>1</v>
      </c>
    </row>
    <row r="738" spans="1:6" x14ac:dyDescent="0.3">
      <c r="A738" s="51">
        <v>45990.64738425926</v>
      </c>
      <c r="B738">
        <v>3550</v>
      </c>
      <c r="C738">
        <v>1.2575000000000001</v>
      </c>
      <c r="D738">
        <v>0</v>
      </c>
      <c r="E738">
        <v>0</v>
      </c>
      <c r="F738">
        <v>1</v>
      </c>
    </row>
    <row r="739" spans="1:6" x14ac:dyDescent="0.3">
      <c r="A739" s="51">
        <v>45990.647499999999</v>
      </c>
      <c r="B739">
        <v>3560</v>
      </c>
      <c r="C739">
        <v>1.2637</v>
      </c>
      <c r="D739">
        <v>0</v>
      </c>
      <c r="E739">
        <v>0</v>
      </c>
      <c r="F739">
        <v>1</v>
      </c>
    </row>
    <row r="740" spans="1:6" x14ac:dyDescent="0.3">
      <c r="A740" s="51">
        <v>45990.647615740738</v>
      </c>
      <c r="B740">
        <v>3570</v>
      </c>
      <c r="C740">
        <v>1.27</v>
      </c>
      <c r="D740">
        <v>0</v>
      </c>
      <c r="E740">
        <v>0</v>
      </c>
      <c r="F740">
        <v>1</v>
      </c>
    </row>
    <row r="741" spans="1:6" x14ac:dyDescent="0.3">
      <c r="A741" s="51">
        <v>45990.647731481484</v>
      </c>
      <c r="B741">
        <v>3580</v>
      </c>
      <c r="C741">
        <v>1.2749999999999999</v>
      </c>
      <c r="D741">
        <v>0</v>
      </c>
      <c r="E741">
        <v>0</v>
      </c>
      <c r="F741">
        <v>1</v>
      </c>
    </row>
    <row r="742" spans="1:6" x14ac:dyDescent="0.3">
      <c r="A742" s="51">
        <v>45990.647847222222</v>
      </c>
      <c r="B742">
        <v>3590</v>
      </c>
      <c r="C742">
        <v>1.2775000000000001</v>
      </c>
      <c r="D742">
        <v>0</v>
      </c>
      <c r="E742">
        <v>0</v>
      </c>
      <c r="F742">
        <v>1</v>
      </c>
    </row>
    <row r="743" spans="1:6" x14ac:dyDescent="0.3">
      <c r="A743" s="51">
        <v>45990.647962962961</v>
      </c>
      <c r="B743">
        <v>3600</v>
      </c>
      <c r="C743">
        <v>1.0286999999999999</v>
      </c>
      <c r="D743">
        <v>345.6644</v>
      </c>
      <c r="E743">
        <v>355.61414000000002</v>
      </c>
      <c r="F743">
        <v>0</v>
      </c>
    </row>
    <row r="744" spans="1:6" x14ac:dyDescent="0.3">
      <c r="A744" s="51">
        <v>45990.648078703707</v>
      </c>
      <c r="B744">
        <v>3610</v>
      </c>
      <c r="C744">
        <v>1.0175000000000001</v>
      </c>
      <c r="D744">
        <v>341.8646</v>
      </c>
      <c r="E744">
        <v>348.11437999999998</v>
      </c>
      <c r="F744">
        <v>0</v>
      </c>
    </row>
    <row r="745" spans="1:6" x14ac:dyDescent="0.3">
      <c r="A745" s="51">
        <v>45990.648194444446</v>
      </c>
      <c r="B745">
        <v>3620</v>
      </c>
      <c r="C745">
        <v>1.0113000000000001</v>
      </c>
      <c r="D745">
        <v>340.13959999999997</v>
      </c>
      <c r="E745">
        <v>344.36450000000002</v>
      </c>
      <c r="F745">
        <v>0</v>
      </c>
    </row>
    <row r="746" spans="1:6" x14ac:dyDescent="0.3">
      <c r="A746" s="51">
        <v>45990.648310185185</v>
      </c>
      <c r="B746">
        <v>3630</v>
      </c>
      <c r="C746">
        <v>1.0086999999999999</v>
      </c>
      <c r="D746">
        <v>338.98970000000003</v>
      </c>
      <c r="E746">
        <v>341.86455999999998</v>
      </c>
      <c r="F746">
        <v>0</v>
      </c>
    </row>
    <row r="747" spans="1:6" x14ac:dyDescent="0.3">
      <c r="A747" s="51">
        <v>45990.648425925923</v>
      </c>
      <c r="B747">
        <v>3640</v>
      </c>
      <c r="C747">
        <v>1.0049999999999999</v>
      </c>
      <c r="D747">
        <v>338.06470000000002</v>
      </c>
      <c r="E747">
        <v>339.98962</v>
      </c>
      <c r="F747">
        <v>0</v>
      </c>
    </row>
    <row r="748" spans="1:6" x14ac:dyDescent="0.3">
      <c r="A748" s="51">
        <v>45990.648541666669</v>
      </c>
      <c r="B748">
        <v>3650</v>
      </c>
      <c r="C748">
        <v>1.0024999999999999</v>
      </c>
      <c r="D748">
        <v>337.33969999999999</v>
      </c>
      <c r="E748">
        <v>338.11469</v>
      </c>
      <c r="F748">
        <v>0</v>
      </c>
    </row>
    <row r="749" spans="1:6" x14ac:dyDescent="0.3">
      <c r="A749" s="51">
        <v>45990.648657407408</v>
      </c>
      <c r="B749">
        <v>3660</v>
      </c>
      <c r="C749">
        <v>1.0013000000000001</v>
      </c>
      <c r="D749">
        <v>336.71469999999999</v>
      </c>
      <c r="E749">
        <v>336.86471999999998</v>
      </c>
      <c r="F749">
        <v>0</v>
      </c>
    </row>
    <row r="750" spans="1:6" x14ac:dyDescent="0.3">
      <c r="A750" s="51">
        <v>45990.648773148147</v>
      </c>
      <c r="B750">
        <v>3670</v>
      </c>
      <c r="C750">
        <v>1</v>
      </c>
      <c r="D750">
        <v>336.21469999999999</v>
      </c>
      <c r="E750">
        <v>335.61475000000002</v>
      </c>
      <c r="F750">
        <v>0</v>
      </c>
    </row>
    <row r="751" spans="1:6" x14ac:dyDescent="0.3">
      <c r="A751" s="51">
        <v>45990.648888888885</v>
      </c>
      <c r="B751">
        <v>3680</v>
      </c>
      <c r="C751">
        <v>0.99870000000000003</v>
      </c>
      <c r="D751">
        <v>335.73970000000003</v>
      </c>
      <c r="E751">
        <v>334.98978</v>
      </c>
      <c r="F751">
        <v>0</v>
      </c>
    </row>
    <row r="752" spans="1:6" x14ac:dyDescent="0.3">
      <c r="A752" s="51">
        <v>45990.649004629631</v>
      </c>
      <c r="B752">
        <v>3690</v>
      </c>
      <c r="C752">
        <v>0.99750000000000005</v>
      </c>
      <c r="D752">
        <v>335.33980000000003</v>
      </c>
      <c r="E752">
        <v>334.98978</v>
      </c>
      <c r="F752">
        <v>0</v>
      </c>
    </row>
    <row r="753" spans="1:6" x14ac:dyDescent="0.3">
      <c r="A753" s="51">
        <v>45990.64912037037</v>
      </c>
      <c r="B753">
        <v>3700</v>
      </c>
      <c r="C753">
        <v>0.99619999999999997</v>
      </c>
      <c r="D753">
        <v>334.96480000000003</v>
      </c>
      <c r="E753">
        <v>333.73980999999998</v>
      </c>
      <c r="F753">
        <v>0</v>
      </c>
    </row>
    <row r="754" spans="1:6" x14ac:dyDescent="0.3">
      <c r="A754" s="51">
        <v>45990.649236111109</v>
      </c>
      <c r="B754">
        <v>3710</v>
      </c>
      <c r="C754">
        <v>0.995</v>
      </c>
      <c r="D754">
        <v>334.6148</v>
      </c>
      <c r="E754">
        <v>332.48987</v>
      </c>
      <c r="F754">
        <v>0</v>
      </c>
    </row>
    <row r="755" spans="1:6" x14ac:dyDescent="0.3">
      <c r="A755" s="51">
        <v>45990.649351851855</v>
      </c>
      <c r="B755">
        <v>3720</v>
      </c>
      <c r="C755">
        <v>0.99370000000000003</v>
      </c>
      <c r="D755">
        <v>334.31479999999999</v>
      </c>
      <c r="E755">
        <v>331.86487</v>
      </c>
      <c r="F755">
        <v>0</v>
      </c>
    </row>
    <row r="756" spans="1:6" x14ac:dyDescent="0.3">
      <c r="A756" s="51">
        <v>45990.649467592593</v>
      </c>
      <c r="B756">
        <v>3730</v>
      </c>
      <c r="C756">
        <v>0.99370000000000003</v>
      </c>
      <c r="D756">
        <v>334.03980000000001</v>
      </c>
      <c r="E756">
        <v>331.86487</v>
      </c>
      <c r="F756">
        <v>0</v>
      </c>
    </row>
    <row r="757" spans="1:6" x14ac:dyDescent="0.3">
      <c r="A757" s="51">
        <v>45990.649583333332</v>
      </c>
      <c r="B757">
        <v>3740</v>
      </c>
      <c r="C757">
        <v>0.99250000000000005</v>
      </c>
      <c r="D757">
        <v>333.7398</v>
      </c>
      <c r="E757">
        <v>330.61489999999998</v>
      </c>
      <c r="F757">
        <v>0</v>
      </c>
    </row>
    <row r="758" spans="1:6" x14ac:dyDescent="0.3">
      <c r="A758" s="51">
        <v>45990.649699074071</v>
      </c>
      <c r="B758">
        <v>3750</v>
      </c>
      <c r="C758">
        <v>0.99119999999999997</v>
      </c>
      <c r="D758">
        <v>333.46480000000003</v>
      </c>
      <c r="E758">
        <v>330.61489999999998</v>
      </c>
      <c r="F758">
        <v>0</v>
      </c>
    </row>
    <row r="759" spans="1:6" x14ac:dyDescent="0.3">
      <c r="A759" s="51">
        <v>45990.649814814817</v>
      </c>
      <c r="B759">
        <v>3760</v>
      </c>
      <c r="C759">
        <v>0.99119999999999997</v>
      </c>
      <c r="D759">
        <v>333.18979999999999</v>
      </c>
      <c r="E759">
        <v>329.98993000000002</v>
      </c>
      <c r="F759">
        <v>0</v>
      </c>
    </row>
    <row r="760" spans="1:6" x14ac:dyDescent="0.3">
      <c r="A760" s="51">
        <v>45990.649930555555</v>
      </c>
      <c r="B760">
        <v>3770</v>
      </c>
      <c r="C760">
        <v>0.98870000000000002</v>
      </c>
      <c r="D760">
        <v>332.93979999999999</v>
      </c>
      <c r="E760">
        <v>329.36496</v>
      </c>
      <c r="F760">
        <v>0</v>
      </c>
    </row>
    <row r="761" spans="1:6" x14ac:dyDescent="0.3">
      <c r="A761" s="51" t="s">
        <v>5</v>
      </c>
      <c r="B761"/>
      <c r="C761"/>
      <c r="D761"/>
      <c r="E761"/>
      <c r="F761"/>
    </row>
    <row r="762" spans="1:6" x14ac:dyDescent="0.3">
      <c r="A762" s="51">
        <v>45990.725682870368</v>
      </c>
      <c r="B762">
        <v>10</v>
      </c>
      <c r="C762">
        <v>0.97370000000000001</v>
      </c>
      <c r="D762">
        <v>337.18970000000002</v>
      </c>
      <c r="E762">
        <v>328.11498999999998</v>
      </c>
      <c r="F762">
        <v>0</v>
      </c>
    </row>
    <row r="763" spans="1:6" x14ac:dyDescent="0.3">
      <c r="A763" s="51">
        <v>45990.725798611114</v>
      </c>
      <c r="B763">
        <v>20</v>
      </c>
      <c r="C763">
        <v>1.0137</v>
      </c>
      <c r="D763">
        <v>343.21449999999999</v>
      </c>
      <c r="E763">
        <v>348.11437999999998</v>
      </c>
      <c r="F763">
        <v>0</v>
      </c>
    </row>
    <row r="764" spans="1:6" x14ac:dyDescent="0.3">
      <c r="A764" s="51">
        <v>45990.725914351853</v>
      </c>
      <c r="B764">
        <v>30</v>
      </c>
      <c r="C764">
        <v>1.0075000000000001</v>
      </c>
      <c r="D764">
        <v>341.38959999999997</v>
      </c>
      <c r="E764">
        <v>344.36450000000002</v>
      </c>
      <c r="F764">
        <v>0</v>
      </c>
    </row>
    <row r="765" spans="1:6" x14ac:dyDescent="0.3">
      <c r="A765" s="51">
        <v>45990.726030092592</v>
      </c>
      <c r="B765">
        <v>40</v>
      </c>
      <c r="C765">
        <v>1.0024999999999999</v>
      </c>
      <c r="D765">
        <v>339.83960000000002</v>
      </c>
      <c r="E765">
        <v>341.23959000000002</v>
      </c>
      <c r="F765">
        <v>0</v>
      </c>
    </row>
    <row r="766" spans="1:6" x14ac:dyDescent="0.3">
      <c r="A766" s="51">
        <v>45990.726145833331</v>
      </c>
      <c r="B766">
        <v>50</v>
      </c>
      <c r="C766">
        <v>0.99750000000000005</v>
      </c>
      <c r="D766">
        <v>338.38959999999997</v>
      </c>
      <c r="E766">
        <v>338.11469</v>
      </c>
      <c r="F766">
        <v>0</v>
      </c>
    </row>
    <row r="767" spans="1:6" x14ac:dyDescent="0.3">
      <c r="A767" s="51">
        <v>45990.726261574076</v>
      </c>
      <c r="B767">
        <v>60</v>
      </c>
      <c r="C767">
        <v>0.99370000000000003</v>
      </c>
      <c r="D767">
        <v>337.0147</v>
      </c>
      <c r="E767">
        <v>334.98978</v>
      </c>
      <c r="F767">
        <v>0</v>
      </c>
    </row>
    <row r="768" spans="1:6" x14ac:dyDescent="0.3">
      <c r="A768" s="51">
        <v>45990.726377314815</v>
      </c>
      <c r="B768">
        <v>70</v>
      </c>
      <c r="C768">
        <v>0.99</v>
      </c>
      <c r="D768">
        <v>335.66469999999998</v>
      </c>
      <c r="E768">
        <v>331.86487</v>
      </c>
      <c r="F768">
        <v>0</v>
      </c>
    </row>
    <row r="769" spans="1:6" x14ac:dyDescent="0.3">
      <c r="A769" s="51">
        <v>45990.726493055554</v>
      </c>
      <c r="B769">
        <v>80</v>
      </c>
      <c r="C769">
        <v>0.98619999999999997</v>
      </c>
      <c r="D769">
        <v>334.33980000000003</v>
      </c>
      <c r="E769">
        <v>329.98993000000002</v>
      </c>
      <c r="F769">
        <v>0</v>
      </c>
    </row>
    <row r="770" spans="1:6" x14ac:dyDescent="0.3">
      <c r="A770" s="51">
        <v>45990.7266087963</v>
      </c>
      <c r="B770">
        <v>90</v>
      </c>
      <c r="C770">
        <v>0.98250000000000004</v>
      </c>
      <c r="D770">
        <v>333.1148</v>
      </c>
      <c r="E770">
        <v>327.48998999999998</v>
      </c>
      <c r="F770">
        <v>0</v>
      </c>
    </row>
    <row r="771" spans="1:6" x14ac:dyDescent="0.3">
      <c r="A771" s="51">
        <v>45990.726724537039</v>
      </c>
      <c r="B771">
        <v>100</v>
      </c>
      <c r="C771">
        <v>0.97750000000000004</v>
      </c>
      <c r="D771">
        <v>331.93979999999999</v>
      </c>
      <c r="E771">
        <v>324.36511000000002</v>
      </c>
      <c r="F771">
        <v>0</v>
      </c>
    </row>
    <row r="772" spans="1:6" x14ac:dyDescent="0.3">
      <c r="A772" s="51">
        <v>45990.726840277777</v>
      </c>
      <c r="B772">
        <v>110</v>
      </c>
      <c r="C772">
        <v>0.97619999999999996</v>
      </c>
      <c r="D772">
        <v>330.76490000000001</v>
      </c>
      <c r="E772">
        <v>322.49016999999998</v>
      </c>
      <c r="F772">
        <v>0</v>
      </c>
    </row>
    <row r="773" spans="1:6" x14ac:dyDescent="0.3">
      <c r="A773" s="51">
        <v>45990.726956018516</v>
      </c>
      <c r="B773">
        <v>120</v>
      </c>
      <c r="C773">
        <v>0.97250000000000003</v>
      </c>
      <c r="D773">
        <v>329.66489999999999</v>
      </c>
      <c r="E773">
        <v>320.61520000000002</v>
      </c>
      <c r="F773">
        <v>0</v>
      </c>
    </row>
    <row r="774" spans="1:6" x14ac:dyDescent="0.3">
      <c r="A774" s="51">
        <v>45990.727071759262</v>
      </c>
      <c r="B774">
        <v>130</v>
      </c>
      <c r="C774">
        <v>0.96879999999999999</v>
      </c>
      <c r="D774">
        <v>328.61500000000001</v>
      </c>
      <c r="E774">
        <v>318.74025999999998</v>
      </c>
      <c r="F774">
        <v>0</v>
      </c>
    </row>
    <row r="775" spans="1:6" x14ac:dyDescent="0.3">
      <c r="A775" s="51">
        <v>45990.727187500001</v>
      </c>
      <c r="B775">
        <v>140</v>
      </c>
      <c r="C775">
        <v>0.96499999999999997</v>
      </c>
      <c r="D775">
        <v>327.565</v>
      </c>
      <c r="E775">
        <v>316.24036000000001</v>
      </c>
      <c r="F775">
        <v>0</v>
      </c>
    </row>
    <row r="776" spans="1:6" x14ac:dyDescent="0.3">
      <c r="A776" s="51">
        <v>45990.727303240739</v>
      </c>
      <c r="B776">
        <v>150</v>
      </c>
      <c r="C776">
        <v>1.2586999999999999</v>
      </c>
      <c r="D776">
        <v>2.5000000000000001E-2</v>
      </c>
      <c r="E776">
        <v>0</v>
      </c>
      <c r="F776">
        <v>1</v>
      </c>
    </row>
    <row r="777" spans="1:6" x14ac:dyDescent="0.3">
      <c r="A777" s="51">
        <v>45990.727418981478</v>
      </c>
      <c r="B777">
        <v>160</v>
      </c>
      <c r="C777">
        <v>1.2749999999999999</v>
      </c>
      <c r="D777">
        <v>0</v>
      </c>
      <c r="E777">
        <v>0</v>
      </c>
      <c r="F777">
        <v>1</v>
      </c>
    </row>
    <row r="778" spans="1:6" x14ac:dyDescent="0.3">
      <c r="A778" s="51">
        <v>45990.727534722224</v>
      </c>
      <c r="B778">
        <v>170</v>
      </c>
      <c r="C778">
        <v>1.28</v>
      </c>
      <c r="D778">
        <v>0</v>
      </c>
      <c r="E778">
        <v>0</v>
      </c>
      <c r="F778">
        <v>1</v>
      </c>
    </row>
    <row r="779" spans="1:6" x14ac:dyDescent="0.3">
      <c r="A779" s="51">
        <v>45990.727650462963</v>
      </c>
      <c r="B779">
        <v>180</v>
      </c>
      <c r="C779">
        <v>1.2849999999999999</v>
      </c>
      <c r="D779">
        <v>0</v>
      </c>
      <c r="E779">
        <v>0</v>
      </c>
      <c r="F779">
        <v>1</v>
      </c>
    </row>
    <row r="780" spans="1:6" x14ac:dyDescent="0.3">
      <c r="A780" s="51">
        <v>45990.727766203701</v>
      </c>
      <c r="B780">
        <v>190</v>
      </c>
      <c r="C780">
        <v>1.2887</v>
      </c>
      <c r="D780">
        <v>2.5000000000000001E-2</v>
      </c>
      <c r="E780">
        <v>0</v>
      </c>
      <c r="F780">
        <v>1</v>
      </c>
    </row>
    <row r="781" spans="1:6" x14ac:dyDescent="0.3">
      <c r="A781" s="51">
        <v>45990.727881944447</v>
      </c>
      <c r="B781">
        <v>200</v>
      </c>
      <c r="C781">
        <v>1.2937000000000001</v>
      </c>
      <c r="D781">
        <v>0</v>
      </c>
      <c r="E781">
        <v>0</v>
      </c>
      <c r="F781">
        <v>1</v>
      </c>
    </row>
    <row r="782" spans="1:6" x14ac:dyDescent="0.3">
      <c r="A782" s="51">
        <v>45990.727997685186</v>
      </c>
      <c r="B782">
        <v>210</v>
      </c>
      <c r="C782">
        <v>1.0013000000000001</v>
      </c>
      <c r="D782">
        <v>338.76459999999997</v>
      </c>
      <c r="E782">
        <v>338.73964999999998</v>
      </c>
      <c r="F782">
        <v>0</v>
      </c>
    </row>
    <row r="783" spans="1:6" x14ac:dyDescent="0.3">
      <c r="A783" s="51">
        <v>45990.728113425925</v>
      </c>
      <c r="B783">
        <v>220</v>
      </c>
      <c r="C783">
        <v>0.98119999999999996</v>
      </c>
      <c r="D783">
        <v>332.08980000000003</v>
      </c>
      <c r="E783">
        <v>325.61505</v>
      </c>
      <c r="F783">
        <v>0</v>
      </c>
    </row>
    <row r="784" spans="1:6" x14ac:dyDescent="0.3">
      <c r="A784" s="51">
        <v>45990.728229166663</v>
      </c>
      <c r="B784">
        <v>230</v>
      </c>
      <c r="C784">
        <v>0.97119999999999995</v>
      </c>
      <c r="D784">
        <v>328.86500000000001</v>
      </c>
      <c r="E784">
        <v>319.36525999999998</v>
      </c>
      <c r="F784">
        <v>0</v>
      </c>
    </row>
    <row r="785" spans="1:6" x14ac:dyDescent="0.3">
      <c r="A785" s="51">
        <v>45990.728344907409</v>
      </c>
      <c r="B785">
        <v>240</v>
      </c>
      <c r="C785">
        <v>0.96499999999999997</v>
      </c>
      <c r="D785">
        <v>326.96499999999997</v>
      </c>
      <c r="E785">
        <v>315.61536000000001</v>
      </c>
      <c r="F785">
        <v>0</v>
      </c>
    </row>
    <row r="786" spans="1:6" x14ac:dyDescent="0.3">
      <c r="A786" s="51">
        <v>45990.728460648148</v>
      </c>
      <c r="B786">
        <v>250</v>
      </c>
      <c r="C786">
        <v>0.96130000000000004</v>
      </c>
      <c r="D786">
        <v>325.5401</v>
      </c>
      <c r="E786">
        <v>313.11545000000001</v>
      </c>
      <c r="F786">
        <v>0</v>
      </c>
    </row>
    <row r="787" spans="1:6" x14ac:dyDescent="0.3">
      <c r="A787" s="51">
        <v>45990.728576388887</v>
      </c>
      <c r="B787">
        <v>260</v>
      </c>
      <c r="C787">
        <v>0.96</v>
      </c>
      <c r="D787">
        <v>324.31509999999997</v>
      </c>
      <c r="E787">
        <v>311.24050999999997</v>
      </c>
      <c r="F787">
        <v>0</v>
      </c>
    </row>
    <row r="788" spans="1:6" x14ac:dyDescent="0.3">
      <c r="A788" s="51">
        <v>45990.728692129633</v>
      </c>
      <c r="B788">
        <v>270</v>
      </c>
      <c r="C788">
        <v>0.95620000000000005</v>
      </c>
      <c r="D788">
        <v>323.24009999999998</v>
      </c>
      <c r="E788">
        <v>309.36556999999999</v>
      </c>
      <c r="F788">
        <v>0</v>
      </c>
    </row>
    <row r="789" spans="1:6" x14ac:dyDescent="0.3">
      <c r="A789" s="51">
        <v>45990.728807870371</v>
      </c>
      <c r="B789">
        <v>280</v>
      </c>
      <c r="C789">
        <v>0.95369999999999999</v>
      </c>
      <c r="D789">
        <v>322.26519999999999</v>
      </c>
      <c r="E789">
        <v>307.49059999999997</v>
      </c>
      <c r="F789">
        <v>0</v>
      </c>
    </row>
    <row r="790" spans="1:6" x14ac:dyDescent="0.3">
      <c r="A790" s="51">
        <v>45990.72892361111</v>
      </c>
      <c r="B790">
        <v>290</v>
      </c>
      <c r="C790">
        <v>0.95</v>
      </c>
      <c r="D790">
        <v>321.41520000000003</v>
      </c>
      <c r="E790">
        <v>305.61565999999999</v>
      </c>
      <c r="F790">
        <v>0</v>
      </c>
    </row>
    <row r="791" spans="1:6" x14ac:dyDescent="0.3">
      <c r="A791" s="51">
        <v>45990.729039351849</v>
      </c>
      <c r="B791">
        <v>300</v>
      </c>
      <c r="C791">
        <v>0.94869999999999999</v>
      </c>
      <c r="D791">
        <v>320.59019999999998</v>
      </c>
      <c r="E791">
        <v>304.36572000000001</v>
      </c>
      <c r="F791">
        <v>0</v>
      </c>
    </row>
    <row r="792" spans="1:6" x14ac:dyDescent="0.3">
      <c r="A792" s="51">
        <v>45990.729155092595</v>
      </c>
      <c r="B792">
        <v>310</v>
      </c>
      <c r="C792">
        <v>0.94620000000000004</v>
      </c>
      <c r="D792">
        <v>319.86520000000002</v>
      </c>
      <c r="E792">
        <v>302.49077999999997</v>
      </c>
      <c r="F792">
        <v>0</v>
      </c>
    </row>
    <row r="793" spans="1:6" x14ac:dyDescent="0.3">
      <c r="A793" s="51">
        <v>45990.729270833333</v>
      </c>
      <c r="B793">
        <v>320</v>
      </c>
      <c r="C793">
        <v>0.94369999999999998</v>
      </c>
      <c r="D793">
        <v>319.14030000000002</v>
      </c>
      <c r="E793">
        <v>301.24081000000001</v>
      </c>
      <c r="F793">
        <v>0</v>
      </c>
    </row>
    <row r="794" spans="1:6" x14ac:dyDescent="0.3">
      <c r="A794" s="51">
        <v>45990.729386574072</v>
      </c>
      <c r="B794">
        <v>330</v>
      </c>
      <c r="C794">
        <v>0.94120000000000004</v>
      </c>
      <c r="D794">
        <v>318.51530000000002</v>
      </c>
      <c r="E794">
        <v>299.99083999999999</v>
      </c>
      <c r="F794">
        <v>0</v>
      </c>
    </row>
    <row r="795" spans="1:6" x14ac:dyDescent="0.3">
      <c r="A795" s="51">
        <v>45990.729502314818</v>
      </c>
      <c r="B795">
        <v>340</v>
      </c>
      <c r="C795">
        <v>0.94120000000000004</v>
      </c>
      <c r="D795">
        <v>317.96530000000001</v>
      </c>
      <c r="E795">
        <v>298.74088</v>
      </c>
      <c r="F795">
        <v>0</v>
      </c>
    </row>
    <row r="796" spans="1:6" x14ac:dyDescent="0.3">
      <c r="A796" s="51">
        <v>45990.729618055557</v>
      </c>
      <c r="B796">
        <v>350</v>
      </c>
      <c r="C796">
        <v>0.93869999999999998</v>
      </c>
      <c r="D796">
        <v>317.39030000000002</v>
      </c>
      <c r="E796">
        <v>298.11590999999999</v>
      </c>
      <c r="F796">
        <v>0</v>
      </c>
    </row>
    <row r="797" spans="1:6" x14ac:dyDescent="0.3">
      <c r="A797" s="51">
        <v>45990.729733796295</v>
      </c>
      <c r="B797">
        <v>360</v>
      </c>
      <c r="C797">
        <v>0.9375</v>
      </c>
      <c r="D797">
        <v>316.89030000000002</v>
      </c>
      <c r="E797">
        <v>296.86594000000002</v>
      </c>
      <c r="F797">
        <v>0</v>
      </c>
    </row>
    <row r="798" spans="1:6" x14ac:dyDescent="0.3">
      <c r="A798" s="51">
        <v>45990.729849537034</v>
      </c>
      <c r="B798">
        <v>370</v>
      </c>
      <c r="C798">
        <v>0.93620000000000003</v>
      </c>
      <c r="D798">
        <v>316.39030000000002</v>
      </c>
      <c r="E798">
        <v>296.24097</v>
      </c>
      <c r="F798">
        <v>0</v>
      </c>
    </row>
    <row r="799" spans="1:6" x14ac:dyDescent="0.3">
      <c r="A799" s="51">
        <v>45990.72996527778</v>
      </c>
      <c r="B799">
        <v>380</v>
      </c>
      <c r="C799">
        <v>0.93500000000000005</v>
      </c>
      <c r="D799">
        <v>315.94029999999998</v>
      </c>
      <c r="E799">
        <v>294.99099999999999</v>
      </c>
      <c r="F799">
        <v>0</v>
      </c>
    </row>
    <row r="800" spans="1:6" x14ac:dyDescent="0.3">
      <c r="A800" s="51">
        <v>45990.730081018519</v>
      </c>
      <c r="B800">
        <v>390</v>
      </c>
      <c r="C800">
        <v>1.23</v>
      </c>
      <c r="D800">
        <v>0</v>
      </c>
      <c r="E800">
        <v>0</v>
      </c>
      <c r="F800">
        <v>1</v>
      </c>
    </row>
    <row r="801" spans="1:6" x14ac:dyDescent="0.3">
      <c r="A801" s="51">
        <v>45990.730196759258</v>
      </c>
      <c r="B801">
        <v>400</v>
      </c>
      <c r="C801">
        <v>1.2450000000000001</v>
      </c>
      <c r="D801">
        <v>0</v>
      </c>
      <c r="E801">
        <v>0</v>
      </c>
      <c r="F801">
        <v>1</v>
      </c>
    </row>
    <row r="802" spans="1:6" x14ac:dyDescent="0.3">
      <c r="A802" s="51">
        <v>45990.730312500003</v>
      </c>
      <c r="B802">
        <v>410</v>
      </c>
      <c r="C802">
        <v>1.2524999999999999</v>
      </c>
      <c r="D802">
        <v>0</v>
      </c>
      <c r="E802">
        <v>0</v>
      </c>
      <c r="F802">
        <v>1</v>
      </c>
    </row>
    <row r="803" spans="1:6" x14ac:dyDescent="0.3">
      <c r="A803" s="51">
        <v>45990.730428240742</v>
      </c>
      <c r="B803">
        <v>420</v>
      </c>
      <c r="C803">
        <v>1.2586999999999999</v>
      </c>
      <c r="D803">
        <v>2.5000000000000001E-2</v>
      </c>
      <c r="E803">
        <v>0</v>
      </c>
      <c r="F803">
        <v>1</v>
      </c>
    </row>
    <row r="804" spans="1:6" x14ac:dyDescent="0.3">
      <c r="A804" s="51">
        <v>45990.730543981481</v>
      </c>
      <c r="B804">
        <v>430</v>
      </c>
      <c r="C804">
        <v>1.2625</v>
      </c>
      <c r="D804">
        <v>2.5000000000000001E-2</v>
      </c>
      <c r="E804">
        <v>0</v>
      </c>
      <c r="F804">
        <v>1</v>
      </c>
    </row>
    <row r="805" spans="1:6" x14ac:dyDescent="0.3">
      <c r="A805" s="51">
        <v>45990.73065972222</v>
      </c>
      <c r="B805">
        <v>440</v>
      </c>
      <c r="C805">
        <v>1.2663</v>
      </c>
      <c r="D805">
        <v>0</v>
      </c>
      <c r="E805">
        <v>0</v>
      </c>
      <c r="F805">
        <v>1</v>
      </c>
    </row>
    <row r="806" spans="1:6" x14ac:dyDescent="0.3">
      <c r="A806" s="51">
        <v>45990.730775462966</v>
      </c>
      <c r="B806">
        <v>450</v>
      </c>
      <c r="C806">
        <v>0.97119999999999995</v>
      </c>
      <c r="D806">
        <v>328.34</v>
      </c>
      <c r="E806">
        <v>318.74025999999998</v>
      </c>
      <c r="F806">
        <v>0</v>
      </c>
    </row>
    <row r="807" spans="1:6" x14ac:dyDescent="0.3">
      <c r="A807" s="51">
        <v>45990.730891203704</v>
      </c>
      <c r="B807">
        <v>460</v>
      </c>
      <c r="C807">
        <v>0.95120000000000005</v>
      </c>
      <c r="D807">
        <v>321.36520000000002</v>
      </c>
      <c r="E807">
        <v>305.61565999999999</v>
      </c>
      <c r="F807">
        <v>0</v>
      </c>
    </row>
    <row r="808" spans="1:6" x14ac:dyDescent="0.3">
      <c r="A808" s="51">
        <v>45990.731006944443</v>
      </c>
      <c r="B808">
        <v>470</v>
      </c>
      <c r="C808">
        <v>0.94369999999999998</v>
      </c>
      <c r="D808">
        <v>318.7903</v>
      </c>
      <c r="E808">
        <v>301.24081000000001</v>
      </c>
      <c r="F808">
        <v>0</v>
      </c>
    </row>
    <row r="809" spans="1:6" x14ac:dyDescent="0.3">
      <c r="A809" s="51">
        <v>45990.731122685182</v>
      </c>
      <c r="B809">
        <v>480</v>
      </c>
      <c r="C809">
        <v>0.93869999999999998</v>
      </c>
      <c r="D809">
        <v>317.19029999999998</v>
      </c>
      <c r="E809">
        <v>298.11590999999999</v>
      </c>
      <c r="F809">
        <v>0</v>
      </c>
    </row>
    <row r="810" spans="1:6" x14ac:dyDescent="0.3">
      <c r="A810" s="51">
        <v>45990.731238425928</v>
      </c>
      <c r="B810">
        <v>490</v>
      </c>
      <c r="C810">
        <v>0.93500000000000005</v>
      </c>
      <c r="D810">
        <v>316.0154</v>
      </c>
      <c r="E810">
        <v>296.24097</v>
      </c>
      <c r="F810">
        <v>0</v>
      </c>
    </row>
    <row r="811" spans="1:6" x14ac:dyDescent="0.3">
      <c r="A811" s="51">
        <v>45990.731354166666</v>
      </c>
      <c r="B811">
        <v>500</v>
      </c>
      <c r="C811">
        <v>0.9325</v>
      </c>
      <c r="D811">
        <v>315.06540000000001</v>
      </c>
      <c r="E811">
        <v>293.74103000000002</v>
      </c>
      <c r="F811">
        <v>0</v>
      </c>
    </row>
    <row r="812" spans="1:6" x14ac:dyDescent="0.3">
      <c r="A812" s="51">
        <v>45990.731469907405</v>
      </c>
      <c r="B812">
        <v>510</v>
      </c>
      <c r="C812">
        <v>0.92869999999999997</v>
      </c>
      <c r="D812">
        <v>314.34039999999999</v>
      </c>
      <c r="E812">
        <v>291.86608999999999</v>
      </c>
      <c r="F812">
        <v>0</v>
      </c>
    </row>
    <row r="813" spans="1:6" x14ac:dyDescent="0.3">
      <c r="A813" s="51">
        <v>45990.731585648151</v>
      </c>
      <c r="B813">
        <v>520</v>
      </c>
      <c r="C813">
        <v>0.92869999999999997</v>
      </c>
      <c r="D813">
        <v>313.66539999999998</v>
      </c>
      <c r="E813">
        <v>290.61612000000002</v>
      </c>
      <c r="F813">
        <v>0</v>
      </c>
    </row>
    <row r="814" spans="1:6" x14ac:dyDescent="0.3">
      <c r="A814" s="51">
        <v>45990.73170138889</v>
      </c>
      <c r="B814">
        <v>530</v>
      </c>
      <c r="C814">
        <v>0.92620000000000002</v>
      </c>
      <c r="D814">
        <v>313.11540000000002</v>
      </c>
      <c r="E814">
        <v>289.99115</v>
      </c>
      <c r="F814">
        <v>0</v>
      </c>
    </row>
    <row r="815" spans="1:6" x14ac:dyDescent="0.3">
      <c r="A815" s="51">
        <v>45990.731817129628</v>
      </c>
      <c r="B815">
        <v>540</v>
      </c>
      <c r="C815">
        <v>0.92369999999999997</v>
      </c>
      <c r="D815">
        <v>312.59050000000002</v>
      </c>
      <c r="E815">
        <v>288.74117999999999</v>
      </c>
      <c r="F815">
        <v>0</v>
      </c>
    </row>
    <row r="816" spans="1:6" x14ac:dyDescent="0.3">
      <c r="A816" s="51">
        <v>45990.731932870367</v>
      </c>
      <c r="B816">
        <v>550</v>
      </c>
      <c r="C816">
        <v>0.92249999999999999</v>
      </c>
      <c r="D816">
        <v>312.14049999999997</v>
      </c>
      <c r="E816">
        <v>287.49121000000002</v>
      </c>
      <c r="F816">
        <v>0</v>
      </c>
    </row>
    <row r="817" spans="1:6" x14ac:dyDescent="0.3">
      <c r="A817" s="51">
        <v>45990.732048611113</v>
      </c>
      <c r="B817">
        <v>560</v>
      </c>
      <c r="C817">
        <v>0.92120000000000002</v>
      </c>
      <c r="D817">
        <v>311.71550000000002</v>
      </c>
      <c r="E817">
        <v>286.86624</v>
      </c>
      <c r="F817">
        <v>0</v>
      </c>
    </row>
    <row r="818" spans="1:6" x14ac:dyDescent="0.3">
      <c r="A818" s="51">
        <v>45990.732164351852</v>
      </c>
      <c r="B818">
        <v>570</v>
      </c>
      <c r="C818">
        <v>0.92</v>
      </c>
      <c r="D818">
        <v>311.31549999999999</v>
      </c>
      <c r="E818">
        <v>286.24126999999999</v>
      </c>
      <c r="F818">
        <v>0</v>
      </c>
    </row>
    <row r="819" spans="1:6" x14ac:dyDescent="0.3">
      <c r="A819" s="51">
        <v>45990.73228009259</v>
      </c>
      <c r="B819">
        <v>580</v>
      </c>
      <c r="C819">
        <v>0.91869999999999996</v>
      </c>
      <c r="D819">
        <v>310.91550000000001</v>
      </c>
      <c r="E819">
        <v>285.61626999999999</v>
      </c>
      <c r="F819">
        <v>0</v>
      </c>
    </row>
    <row r="820" spans="1:6" x14ac:dyDescent="0.3">
      <c r="A820" s="51">
        <v>45990.732395833336</v>
      </c>
      <c r="B820">
        <v>590</v>
      </c>
      <c r="C820">
        <v>0.91869999999999996</v>
      </c>
      <c r="D820">
        <v>310.54050000000001</v>
      </c>
      <c r="E820">
        <v>285.61626999999999</v>
      </c>
      <c r="F820">
        <v>0</v>
      </c>
    </row>
    <row r="821" spans="1:6" x14ac:dyDescent="0.3">
      <c r="A821" s="51">
        <v>45990.732511574075</v>
      </c>
      <c r="B821">
        <v>600</v>
      </c>
      <c r="C821">
        <v>0.91749999999999998</v>
      </c>
      <c r="D821">
        <v>310.19049999999999</v>
      </c>
      <c r="E821">
        <v>284.36633</v>
      </c>
      <c r="F821">
        <v>0</v>
      </c>
    </row>
    <row r="822" spans="1:6" x14ac:dyDescent="0.3">
      <c r="A822" s="51">
        <v>45990.732627314814</v>
      </c>
      <c r="B822">
        <v>610</v>
      </c>
      <c r="C822">
        <v>0.91620000000000001</v>
      </c>
      <c r="D822">
        <v>309.89049999999997</v>
      </c>
      <c r="E822">
        <v>283.74133</v>
      </c>
      <c r="F822">
        <v>0</v>
      </c>
    </row>
    <row r="823" spans="1:6" x14ac:dyDescent="0.3">
      <c r="A823" s="51">
        <v>45990.732743055552</v>
      </c>
      <c r="B823">
        <v>620</v>
      </c>
      <c r="C823">
        <v>0.91500000000000004</v>
      </c>
      <c r="D823">
        <v>309.59050000000002</v>
      </c>
      <c r="E823">
        <v>283.74133</v>
      </c>
      <c r="F823">
        <v>0</v>
      </c>
    </row>
    <row r="824" spans="1:6" x14ac:dyDescent="0.3">
      <c r="A824" s="51">
        <v>45990.732858796298</v>
      </c>
      <c r="B824">
        <v>630</v>
      </c>
      <c r="C824">
        <v>1.2112000000000001</v>
      </c>
      <c r="D824">
        <v>0</v>
      </c>
      <c r="E824">
        <v>0</v>
      </c>
      <c r="F824">
        <v>1</v>
      </c>
    </row>
    <row r="825" spans="1:6" x14ac:dyDescent="0.3">
      <c r="A825" s="51">
        <v>45990.732974537037</v>
      </c>
      <c r="B825">
        <v>640</v>
      </c>
      <c r="C825">
        <v>1.2286999999999999</v>
      </c>
      <c r="D825">
        <v>0</v>
      </c>
      <c r="E825">
        <v>0</v>
      </c>
      <c r="F825">
        <v>1</v>
      </c>
    </row>
    <row r="826" spans="1:6" x14ac:dyDescent="0.3">
      <c r="A826" s="51">
        <v>45990.733090277776</v>
      </c>
      <c r="B826">
        <v>650</v>
      </c>
      <c r="C826">
        <v>1.2362</v>
      </c>
      <c r="D826">
        <v>0</v>
      </c>
      <c r="E826">
        <v>0</v>
      </c>
      <c r="F826">
        <v>1</v>
      </c>
    </row>
    <row r="827" spans="1:6" x14ac:dyDescent="0.3">
      <c r="A827" s="51">
        <v>45990.733206018522</v>
      </c>
      <c r="B827">
        <v>660</v>
      </c>
      <c r="C827">
        <v>1.24</v>
      </c>
      <c r="D827">
        <v>0</v>
      </c>
      <c r="E827">
        <v>0</v>
      </c>
      <c r="F827">
        <v>1</v>
      </c>
    </row>
    <row r="828" spans="1:6" x14ac:dyDescent="0.3">
      <c r="A828" s="51">
        <v>45990.73333333333</v>
      </c>
      <c r="B828">
        <v>670</v>
      </c>
      <c r="C828">
        <v>1.2450000000000001</v>
      </c>
      <c r="D828">
        <v>0</v>
      </c>
      <c r="E828">
        <v>0</v>
      </c>
      <c r="F828">
        <v>1</v>
      </c>
    </row>
    <row r="829" spans="1:6" x14ac:dyDescent="0.3">
      <c r="A829" s="51">
        <v>45990.733449074076</v>
      </c>
      <c r="B829">
        <v>680</v>
      </c>
      <c r="C829">
        <v>1.25</v>
      </c>
      <c r="D829">
        <v>0</v>
      </c>
      <c r="E829">
        <v>0</v>
      </c>
      <c r="F829">
        <v>1</v>
      </c>
    </row>
    <row r="830" spans="1:6" x14ac:dyDescent="0.3">
      <c r="A830" s="51">
        <v>45990.733564814815</v>
      </c>
      <c r="B830">
        <v>690</v>
      </c>
      <c r="C830">
        <v>0.95620000000000005</v>
      </c>
      <c r="D830">
        <v>322.89010000000002</v>
      </c>
      <c r="E830">
        <v>308.74056999999999</v>
      </c>
      <c r="F830">
        <v>0</v>
      </c>
    </row>
    <row r="831" spans="1:6" x14ac:dyDescent="0.3">
      <c r="A831" s="51">
        <v>45990.733680555553</v>
      </c>
      <c r="B831">
        <v>700</v>
      </c>
      <c r="C831">
        <v>0.93500000000000005</v>
      </c>
      <c r="D831">
        <v>316.09030000000001</v>
      </c>
      <c r="E831">
        <v>296.24097</v>
      </c>
      <c r="F831">
        <v>0</v>
      </c>
    </row>
    <row r="832" spans="1:6" x14ac:dyDescent="0.3">
      <c r="A832" s="51">
        <v>45990.733796296299</v>
      </c>
      <c r="B832">
        <v>710</v>
      </c>
      <c r="C832">
        <v>0.92749999999999999</v>
      </c>
      <c r="D832">
        <v>313.6404</v>
      </c>
      <c r="E832">
        <v>290.61612000000002</v>
      </c>
      <c r="F832">
        <v>0</v>
      </c>
    </row>
    <row r="833" spans="1:6" x14ac:dyDescent="0.3">
      <c r="A833" s="51">
        <v>45990.733912037038</v>
      </c>
      <c r="B833">
        <v>720</v>
      </c>
      <c r="C833">
        <v>0.92249999999999999</v>
      </c>
      <c r="D833">
        <v>312.14049999999997</v>
      </c>
      <c r="E833">
        <v>287.49121000000002</v>
      </c>
      <c r="F833">
        <v>0</v>
      </c>
    </row>
    <row r="834" spans="1:6" x14ac:dyDescent="0.3">
      <c r="A834" s="51">
        <v>45990.734027777777</v>
      </c>
      <c r="B834">
        <v>730</v>
      </c>
      <c r="C834">
        <v>0.91869999999999996</v>
      </c>
      <c r="D834">
        <v>311.09050000000002</v>
      </c>
      <c r="E834">
        <v>285.61626999999999</v>
      </c>
      <c r="F834">
        <v>0</v>
      </c>
    </row>
    <row r="835" spans="1:6" x14ac:dyDescent="0.3">
      <c r="A835" s="51">
        <v>45990.734143518515</v>
      </c>
      <c r="B835">
        <v>740</v>
      </c>
      <c r="C835">
        <v>0.91749999999999998</v>
      </c>
      <c r="D835">
        <v>310.2405</v>
      </c>
      <c r="E835">
        <v>284.36633</v>
      </c>
      <c r="F835">
        <v>0</v>
      </c>
    </row>
    <row r="836" spans="1:6" x14ac:dyDescent="0.3">
      <c r="A836" s="51">
        <v>45990.734259259261</v>
      </c>
      <c r="B836">
        <v>750</v>
      </c>
      <c r="C836">
        <v>0.91500000000000004</v>
      </c>
      <c r="D836">
        <v>309.56560000000002</v>
      </c>
      <c r="E836">
        <v>283.74133</v>
      </c>
      <c r="F836">
        <v>0</v>
      </c>
    </row>
    <row r="837" spans="1:6" x14ac:dyDescent="0.3">
      <c r="A837" s="51">
        <v>45990.734375</v>
      </c>
      <c r="B837">
        <v>760</v>
      </c>
      <c r="C837">
        <v>0.91369999999999996</v>
      </c>
      <c r="D837">
        <v>308.96550000000002</v>
      </c>
      <c r="E837">
        <v>282.49139000000002</v>
      </c>
      <c r="F837">
        <v>0</v>
      </c>
    </row>
    <row r="838" spans="1:6" x14ac:dyDescent="0.3">
      <c r="A838" s="51">
        <v>45990.734490740739</v>
      </c>
      <c r="B838">
        <v>770</v>
      </c>
      <c r="C838">
        <v>0.91120000000000001</v>
      </c>
      <c r="D838">
        <v>308.46559999999999</v>
      </c>
      <c r="E838">
        <v>280.61642000000001</v>
      </c>
      <c r="F838">
        <v>0</v>
      </c>
    </row>
    <row r="839" spans="1:6" x14ac:dyDescent="0.3">
      <c r="A839" s="51">
        <v>45990.734606481485</v>
      </c>
      <c r="B839">
        <v>780</v>
      </c>
      <c r="C839">
        <v>0.91</v>
      </c>
      <c r="D839">
        <v>307.99059999999997</v>
      </c>
      <c r="E839">
        <v>280.61642000000001</v>
      </c>
      <c r="F839">
        <v>0</v>
      </c>
    </row>
    <row r="840" spans="1:6" x14ac:dyDescent="0.3">
      <c r="A840" s="51">
        <v>45990.734722222223</v>
      </c>
      <c r="B840">
        <v>790</v>
      </c>
      <c r="C840">
        <v>0.91</v>
      </c>
      <c r="D840">
        <v>307.56560000000002</v>
      </c>
      <c r="E840">
        <v>279.36649</v>
      </c>
      <c r="F840">
        <v>0</v>
      </c>
    </row>
    <row r="841" spans="1:6" x14ac:dyDescent="0.3">
      <c r="A841" s="51">
        <v>45990.734837962962</v>
      </c>
      <c r="B841">
        <v>800</v>
      </c>
      <c r="C841">
        <v>0.90869999999999995</v>
      </c>
      <c r="D841">
        <v>307.19060000000002</v>
      </c>
      <c r="E841">
        <v>279.36649</v>
      </c>
      <c r="F841">
        <v>0</v>
      </c>
    </row>
    <row r="842" spans="1:6" x14ac:dyDescent="0.3">
      <c r="A842" s="51">
        <v>45990.734953703701</v>
      </c>
      <c r="B842">
        <v>810</v>
      </c>
      <c r="C842">
        <v>0.90629999999999999</v>
      </c>
      <c r="D842">
        <v>306.84059999999999</v>
      </c>
      <c r="E842">
        <v>278.74149</v>
      </c>
      <c r="F842">
        <v>0</v>
      </c>
    </row>
    <row r="843" spans="1:6" x14ac:dyDescent="0.3">
      <c r="A843" s="51">
        <v>45990.735069444447</v>
      </c>
      <c r="B843">
        <v>820</v>
      </c>
      <c r="C843">
        <v>0.90629999999999999</v>
      </c>
      <c r="D843">
        <v>306.51560000000001</v>
      </c>
      <c r="E843">
        <v>277.49151999999998</v>
      </c>
      <c r="F843">
        <v>0</v>
      </c>
    </row>
    <row r="844" spans="1:6" x14ac:dyDescent="0.3">
      <c r="A844" s="51">
        <v>45990.735185185185</v>
      </c>
      <c r="B844">
        <v>830</v>
      </c>
      <c r="C844">
        <v>0.90500000000000003</v>
      </c>
      <c r="D844">
        <v>306.21559999999999</v>
      </c>
      <c r="E844">
        <v>276.86655000000002</v>
      </c>
      <c r="F844">
        <v>0</v>
      </c>
    </row>
    <row r="845" spans="1:6" x14ac:dyDescent="0.3">
      <c r="A845" s="51">
        <v>45990.735300925924</v>
      </c>
      <c r="B845">
        <v>840</v>
      </c>
      <c r="C845">
        <v>0.90380000000000005</v>
      </c>
      <c r="D845">
        <v>305.89069999999998</v>
      </c>
      <c r="E845">
        <v>276.24158</v>
      </c>
      <c r="F845">
        <v>0</v>
      </c>
    </row>
    <row r="846" spans="1:6" x14ac:dyDescent="0.3">
      <c r="A846" s="51">
        <v>45990.73541666667</v>
      </c>
      <c r="B846">
        <v>850</v>
      </c>
      <c r="C846">
        <v>0.90249999999999997</v>
      </c>
      <c r="D846">
        <v>305.6157</v>
      </c>
      <c r="E846">
        <v>275.61658</v>
      </c>
      <c r="F846">
        <v>0</v>
      </c>
    </row>
    <row r="847" spans="1:6" x14ac:dyDescent="0.3">
      <c r="A847" s="51">
        <v>45990.735532407409</v>
      </c>
      <c r="B847">
        <v>860</v>
      </c>
      <c r="C847">
        <v>0.90129999999999999</v>
      </c>
      <c r="D847">
        <v>305.26569999999998</v>
      </c>
      <c r="E847">
        <v>275.61658</v>
      </c>
      <c r="F847">
        <v>0</v>
      </c>
    </row>
    <row r="848" spans="1:6" x14ac:dyDescent="0.3">
      <c r="A848" s="51">
        <v>45990.735648148147</v>
      </c>
      <c r="B848">
        <v>870</v>
      </c>
      <c r="C848">
        <v>1.2</v>
      </c>
      <c r="D848">
        <v>0</v>
      </c>
      <c r="E848">
        <v>0</v>
      </c>
      <c r="F848">
        <v>1</v>
      </c>
    </row>
    <row r="849" spans="1:6" x14ac:dyDescent="0.3">
      <c r="A849" s="51">
        <v>45990.735763888886</v>
      </c>
      <c r="B849">
        <v>880</v>
      </c>
      <c r="C849">
        <v>1.2175</v>
      </c>
      <c r="D849">
        <v>0</v>
      </c>
      <c r="E849">
        <v>0</v>
      </c>
      <c r="F849">
        <v>1</v>
      </c>
    </row>
    <row r="850" spans="1:6" x14ac:dyDescent="0.3">
      <c r="A850" s="51">
        <v>45990.735879629632</v>
      </c>
      <c r="B850">
        <v>890</v>
      </c>
      <c r="C850">
        <v>1.2237</v>
      </c>
      <c r="D850">
        <v>0</v>
      </c>
      <c r="E850">
        <v>0</v>
      </c>
      <c r="F850">
        <v>1</v>
      </c>
    </row>
    <row r="851" spans="1:6" x14ac:dyDescent="0.3">
      <c r="A851" s="51">
        <v>45990.735995370371</v>
      </c>
      <c r="B851">
        <v>900</v>
      </c>
      <c r="C851">
        <v>1.23</v>
      </c>
      <c r="D851">
        <v>0</v>
      </c>
      <c r="E851">
        <v>0</v>
      </c>
      <c r="F851">
        <v>1</v>
      </c>
    </row>
    <row r="852" spans="1:6" x14ac:dyDescent="0.3">
      <c r="A852" s="51">
        <v>45990.736111111109</v>
      </c>
      <c r="B852">
        <v>910</v>
      </c>
      <c r="C852">
        <v>1.2337</v>
      </c>
      <c r="D852">
        <v>0</v>
      </c>
      <c r="E852">
        <v>0</v>
      </c>
      <c r="F852">
        <v>1</v>
      </c>
    </row>
    <row r="853" spans="1:6" x14ac:dyDescent="0.3">
      <c r="A853" s="51">
        <v>45990.736226851855</v>
      </c>
      <c r="B853">
        <v>920</v>
      </c>
      <c r="C853">
        <v>1.2386999999999999</v>
      </c>
      <c r="D853">
        <v>0</v>
      </c>
      <c r="E853">
        <v>0</v>
      </c>
      <c r="F853">
        <v>1</v>
      </c>
    </row>
    <row r="854" spans="1:6" x14ac:dyDescent="0.3">
      <c r="A854" s="51">
        <v>45990.736342592594</v>
      </c>
      <c r="B854">
        <v>930</v>
      </c>
      <c r="C854">
        <v>0.94369999999999998</v>
      </c>
      <c r="D854">
        <v>318.7903</v>
      </c>
      <c r="E854">
        <v>300.61581000000001</v>
      </c>
      <c r="F854">
        <v>0</v>
      </c>
    </row>
    <row r="855" spans="1:6" x14ac:dyDescent="0.3">
      <c r="A855" s="51">
        <v>45990.736458333333</v>
      </c>
      <c r="B855">
        <v>940</v>
      </c>
      <c r="C855">
        <v>0.92249999999999999</v>
      </c>
      <c r="D855">
        <v>311.89049999999997</v>
      </c>
      <c r="E855">
        <v>287.49121000000002</v>
      </c>
      <c r="F855">
        <v>0</v>
      </c>
    </row>
    <row r="856" spans="1:6" x14ac:dyDescent="0.3">
      <c r="A856" s="51">
        <v>45990.736574074072</v>
      </c>
      <c r="B856">
        <v>950</v>
      </c>
      <c r="C856">
        <v>0.91500000000000004</v>
      </c>
      <c r="D856">
        <v>309.41559999999998</v>
      </c>
      <c r="E856">
        <v>282.49139000000002</v>
      </c>
      <c r="F856">
        <v>0</v>
      </c>
    </row>
    <row r="857" spans="1:6" x14ac:dyDescent="0.3">
      <c r="A857" s="51">
        <v>45990.736689814818</v>
      </c>
      <c r="B857">
        <v>960</v>
      </c>
      <c r="C857">
        <v>0.91</v>
      </c>
      <c r="D857">
        <v>307.94060000000002</v>
      </c>
      <c r="E857">
        <v>280.61642000000001</v>
      </c>
      <c r="F857">
        <v>0</v>
      </c>
    </row>
    <row r="858" spans="1:6" x14ac:dyDescent="0.3">
      <c r="A858" s="51">
        <v>45990.736805555556</v>
      </c>
      <c r="B858">
        <v>970</v>
      </c>
      <c r="C858">
        <v>0.90749999999999997</v>
      </c>
      <c r="D858">
        <v>306.89060000000001</v>
      </c>
      <c r="E858">
        <v>278.74149</v>
      </c>
      <c r="F858">
        <v>0</v>
      </c>
    </row>
    <row r="859" spans="1:6" x14ac:dyDescent="0.3">
      <c r="A859" s="51">
        <v>45990.736921296295</v>
      </c>
      <c r="B859">
        <v>980</v>
      </c>
      <c r="C859">
        <v>0.90380000000000005</v>
      </c>
      <c r="D859">
        <v>306.06560000000002</v>
      </c>
      <c r="E859">
        <v>276.24158</v>
      </c>
      <c r="F859">
        <v>0</v>
      </c>
    </row>
    <row r="860" spans="1:6" x14ac:dyDescent="0.3">
      <c r="A860" s="51">
        <v>45990.737037037034</v>
      </c>
      <c r="B860">
        <v>990</v>
      </c>
      <c r="C860">
        <v>0.90249999999999997</v>
      </c>
      <c r="D860">
        <v>305.41570000000002</v>
      </c>
      <c r="E860">
        <v>275.61658</v>
      </c>
      <c r="F860">
        <v>0</v>
      </c>
    </row>
    <row r="861" spans="1:6" x14ac:dyDescent="0.3">
      <c r="A861" s="51">
        <v>45990.73715277778</v>
      </c>
      <c r="B861">
        <v>1000</v>
      </c>
      <c r="C861">
        <v>0.9</v>
      </c>
      <c r="D861">
        <v>304.8657</v>
      </c>
      <c r="E861">
        <v>274.36664000000002</v>
      </c>
      <c r="F861">
        <v>0</v>
      </c>
    </row>
    <row r="862" spans="1:6" x14ac:dyDescent="0.3">
      <c r="A862" s="51">
        <v>45990.737268518518</v>
      </c>
      <c r="B862">
        <v>1010</v>
      </c>
      <c r="C862">
        <v>0.9</v>
      </c>
      <c r="D862">
        <v>304.34070000000003</v>
      </c>
      <c r="E862">
        <v>273.11667</v>
      </c>
      <c r="F862">
        <v>0</v>
      </c>
    </row>
    <row r="863" spans="1:6" x14ac:dyDescent="0.3">
      <c r="A863" s="51">
        <v>45990.737384259257</v>
      </c>
      <c r="B863">
        <v>1020</v>
      </c>
      <c r="C863">
        <v>0.89880000000000004</v>
      </c>
      <c r="D863">
        <v>303.91570000000002</v>
      </c>
      <c r="E863">
        <v>273.11667</v>
      </c>
      <c r="F863">
        <v>0</v>
      </c>
    </row>
    <row r="864" spans="1:6" x14ac:dyDescent="0.3">
      <c r="A864" s="51">
        <v>45990.737500000003</v>
      </c>
      <c r="B864">
        <v>1030</v>
      </c>
      <c r="C864">
        <v>0.89629999999999999</v>
      </c>
      <c r="D864">
        <v>303.51569999999998</v>
      </c>
      <c r="E864">
        <v>272.49169999999998</v>
      </c>
      <c r="F864">
        <v>0</v>
      </c>
    </row>
    <row r="865" spans="1:6" x14ac:dyDescent="0.3">
      <c r="A865" s="51">
        <v>45990.737615740742</v>
      </c>
      <c r="B865">
        <v>1040</v>
      </c>
      <c r="C865">
        <v>0.89500000000000002</v>
      </c>
      <c r="D865">
        <v>303.16570000000002</v>
      </c>
      <c r="E865">
        <v>271.24173000000002</v>
      </c>
      <c r="F865">
        <v>0</v>
      </c>
    </row>
    <row r="866" spans="1:6" x14ac:dyDescent="0.3">
      <c r="A866" s="51">
        <v>45990.73773148148</v>
      </c>
      <c r="B866">
        <v>1050</v>
      </c>
      <c r="C866">
        <v>0.89370000000000005</v>
      </c>
      <c r="D866">
        <v>302.8408</v>
      </c>
      <c r="E866">
        <v>270.61673000000002</v>
      </c>
      <c r="F866">
        <v>0</v>
      </c>
    </row>
    <row r="867" spans="1:6" x14ac:dyDescent="0.3">
      <c r="A867" s="51">
        <v>45990.737847222219</v>
      </c>
      <c r="B867">
        <v>1060</v>
      </c>
      <c r="C867">
        <v>0.89370000000000005</v>
      </c>
      <c r="D867">
        <v>302.54079999999999</v>
      </c>
      <c r="E867">
        <v>270.61673000000002</v>
      </c>
      <c r="F867">
        <v>0</v>
      </c>
    </row>
    <row r="868" spans="1:6" x14ac:dyDescent="0.3">
      <c r="A868" s="51">
        <v>45990.737962962965</v>
      </c>
      <c r="B868">
        <v>1070</v>
      </c>
      <c r="C868">
        <v>0.89249999999999996</v>
      </c>
      <c r="D868">
        <v>302.24079999999998</v>
      </c>
      <c r="E868">
        <v>269.36678999999998</v>
      </c>
      <c r="F868">
        <v>0</v>
      </c>
    </row>
    <row r="869" spans="1:6" x14ac:dyDescent="0.3">
      <c r="A869" s="51">
        <v>45990.738078703704</v>
      </c>
      <c r="B869">
        <v>1080</v>
      </c>
      <c r="C869">
        <v>0.89119999999999999</v>
      </c>
      <c r="D869">
        <v>301.9658</v>
      </c>
      <c r="E869">
        <v>269.36678999999998</v>
      </c>
      <c r="F869">
        <v>0</v>
      </c>
    </row>
    <row r="870" spans="1:6" x14ac:dyDescent="0.3">
      <c r="A870" s="51">
        <v>45990.738194444442</v>
      </c>
      <c r="B870">
        <v>1090</v>
      </c>
      <c r="C870">
        <v>0.89119999999999999</v>
      </c>
      <c r="D870">
        <v>301.69080000000002</v>
      </c>
      <c r="E870">
        <v>268.74178999999998</v>
      </c>
      <c r="F870">
        <v>0</v>
      </c>
    </row>
    <row r="871" spans="1:6" x14ac:dyDescent="0.3">
      <c r="A871" s="51">
        <v>45990.738310185188</v>
      </c>
      <c r="B871">
        <v>1100</v>
      </c>
      <c r="C871">
        <v>0.88870000000000005</v>
      </c>
      <c r="D871">
        <v>301.41579999999999</v>
      </c>
      <c r="E871">
        <v>268.11682000000002</v>
      </c>
      <c r="F871">
        <v>0</v>
      </c>
    </row>
    <row r="872" spans="1:6" x14ac:dyDescent="0.3">
      <c r="A872" s="51">
        <v>45990.738425925927</v>
      </c>
      <c r="B872">
        <v>1110</v>
      </c>
      <c r="C872">
        <v>1.1888000000000001</v>
      </c>
      <c r="D872">
        <v>0</v>
      </c>
      <c r="E872">
        <v>0</v>
      </c>
      <c r="F872">
        <v>1</v>
      </c>
    </row>
    <row r="873" spans="1:6" x14ac:dyDescent="0.3">
      <c r="A873" s="51">
        <v>45990.738541666666</v>
      </c>
      <c r="B873">
        <v>1120</v>
      </c>
      <c r="C873">
        <v>1.2088000000000001</v>
      </c>
      <c r="D873">
        <v>0</v>
      </c>
      <c r="E873">
        <v>0</v>
      </c>
      <c r="F873">
        <v>1</v>
      </c>
    </row>
    <row r="874" spans="1:6" x14ac:dyDescent="0.3">
      <c r="A874" s="51">
        <v>45990.738657407404</v>
      </c>
      <c r="B874">
        <v>1130</v>
      </c>
      <c r="C874">
        <v>1.2150000000000001</v>
      </c>
      <c r="D874">
        <v>0</v>
      </c>
      <c r="E874">
        <v>0</v>
      </c>
      <c r="F874">
        <v>1</v>
      </c>
    </row>
    <row r="875" spans="1:6" x14ac:dyDescent="0.3">
      <c r="A875" s="51">
        <v>45990.73877314815</v>
      </c>
      <c r="B875">
        <v>1140</v>
      </c>
      <c r="C875">
        <v>1.22</v>
      </c>
      <c r="D875">
        <v>0</v>
      </c>
      <c r="E875">
        <v>0</v>
      </c>
      <c r="F875">
        <v>1</v>
      </c>
    </row>
    <row r="876" spans="1:6" x14ac:dyDescent="0.3">
      <c r="A876" s="51">
        <v>45990.738888888889</v>
      </c>
      <c r="B876">
        <v>1150</v>
      </c>
      <c r="C876">
        <v>1.2250000000000001</v>
      </c>
      <c r="D876">
        <v>0</v>
      </c>
      <c r="E876">
        <v>0</v>
      </c>
      <c r="F876">
        <v>1</v>
      </c>
    </row>
    <row r="877" spans="1:6" x14ac:dyDescent="0.3">
      <c r="A877" s="51">
        <v>45990.739004629628</v>
      </c>
      <c r="B877">
        <v>1160</v>
      </c>
      <c r="C877">
        <v>1.2286999999999999</v>
      </c>
      <c r="D877">
        <v>0</v>
      </c>
      <c r="E877">
        <v>0</v>
      </c>
      <c r="F877">
        <v>1</v>
      </c>
    </row>
    <row r="878" spans="1:6" x14ac:dyDescent="0.3">
      <c r="A878" s="51">
        <v>45990.739120370374</v>
      </c>
      <c r="B878">
        <v>1170</v>
      </c>
      <c r="C878">
        <v>0.93369999999999997</v>
      </c>
      <c r="D878">
        <v>315.69040000000001</v>
      </c>
      <c r="E878">
        <v>294.99099999999999</v>
      </c>
      <c r="F878">
        <v>0</v>
      </c>
    </row>
    <row r="879" spans="1:6" x14ac:dyDescent="0.3">
      <c r="A879" s="51">
        <v>45990.739236111112</v>
      </c>
      <c r="B879">
        <v>1180</v>
      </c>
      <c r="C879">
        <v>0.91249999999999998</v>
      </c>
      <c r="D879">
        <v>308.49059999999997</v>
      </c>
      <c r="E879">
        <v>281.24142000000001</v>
      </c>
      <c r="F879">
        <v>0</v>
      </c>
    </row>
    <row r="880" spans="1:6" x14ac:dyDescent="0.3">
      <c r="A880" s="51">
        <v>45990.739351851851</v>
      </c>
      <c r="B880">
        <v>1190</v>
      </c>
      <c r="C880">
        <v>0.90380000000000005</v>
      </c>
      <c r="D880">
        <v>305.91559999999998</v>
      </c>
      <c r="E880">
        <v>276.24158</v>
      </c>
      <c r="F880">
        <v>0</v>
      </c>
    </row>
    <row r="881" spans="1:6" x14ac:dyDescent="0.3">
      <c r="A881" s="51">
        <v>45990.73946759259</v>
      </c>
      <c r="B881">
        <v>1200</v>
      </c>
      <c r="C881">
        <v>0.89880000000000004</v>
      </c>
      <c r="D881">
        <v>304.41570000000002</v>
      </c>
      <c r="E881">
        <v>273.11667</v>
      </c>
      <c r="F881">
        <v>0</v>
      </c>
    </row>
    <row r="882" spans="1:6" x14ac:dyDescent="0.3">
      <c r="A882" s="51">
        <v>45990.739583333336</v>
      </c>
      <c r="B882">
        <v>1210</v>
      </c>
      <c r="C882">
        <v>0.89629999999999999</v>
      </c>
      <c r="D882">
        <v>303.3657</v>
      </c>
      <c r="E882">
        <v>271.86669999999998</v>
      </c>
      <c r="F882">
        <v>0</v>
      </c>
    </row>
    <row r="883" spans="1:6" x14ac:dyDescent="0.3">
      <c r="A883" s="51">
        <v>45990.739699074074</v>
      </c>
      <c r="B883">
        <v>1220</v>
      </c>
      <c r="C883">
        <v>0.89370000000000005</v>
      </c>
      <c r="D883">
        <v>302.54079999999999</v>
      </c>
      <c r="E883">
        <v>270.61673000000002</v>
      </c>
      <c r="F883">
        <v>0</v>
      </c>
    </row>
    <row r="884" spans="1:6" x14ac:dyDescent="0.3">
      <c r="A884" s="51">
        <v>45990.739814814813</v>
      </c>
      <c r="B884">
        <v>1230</v>
      </c>
      <c r="C884">
        <v>0.89119999999999999</v>
      </c>
      <c r="D884">
        <v>301.89080000000001</v>
      </c>
      <c r="E884">
        <v>269.36678999999998</v>
      </c>
      <c r="F884">
        <v>0</v>
      </c>
    </row>
    <row r="885" spans="1:6" x14ac:dyDescent="0.3">
      <c r="A885" s="51">
        <v>45990.739930555559</v>
      </c>
      <c r="B885">
        <v>1240</v>
      </c>
      <c r="C885">
        <v>0.88870000000000005</v>
      </c>
      <c r="D885">
        <v>301.3408</v>
      </c>
      <c r="E885">
        <v>268.11682000000002</v>
      </c>
      <c r="F885">
        <v>0</v>
      </c>
    </row>
    <row r="886" spans="1:6" x14ac:dyDescent="0.3">
      <c r="A886" s="51">
        <v>45990.740046296298</v>
      </c>
      <c r="B886">
        <v>1250</v>
      </c>
      <c r="C886">
        <v>0.88870000000000005</v>
      </c>
      <c r="D886">
        <v>300.8408</v>
      </c>
      <c r="E886">
        <v>267.49182000000002</v>
      </c>
      <c r="F886">
        <v>0</v>
      </c>
    </row>
    <row r="887" spans="1:6" x14ac:dyDescent="0.3">
      <c r="A887" s="51">
        <v>45990.740162037036</v>
      </c>
      <c r="B887">
        <v>1260</v>
      </c>
      <c r="C887">
        <v>0.88749999999999996</v>
      </c>
      <c r="D887">
        <v>300.41579999999999</v>
      </c>
      <c r="E887">
        <v>266.24187999999998</v>
      </c>
      <c r="F887">
        <v>0</v>
      </c>
    </row>
    <row r="888" spans="1:6" x14ac:dyDescent="0.3">
      <c r="A888" s="51">
        <v>45990.740277777775</v>
      </c>
      <c r="B888">
        <v>1270</v>
      </c>
      <c r="C888">
        <v>0.88500000000000001</v>
      </c>
      <c r="D888">
        <v>300.04079999999999</v>
      </c>
      <c r="E888">
        <v>264.99191000000002</v>
      </c>
      <c r="F888">
        <v>0</v>
      </c>
    </row>
    <row r="889" spans="1:6" x14ac:dyDescent="0.3">
      <c r="A889" s="51">
        <v>45990.740393518521</v>
      </c>
      <c r="B889">
        <v>1280</v>
      </c>
      <c r="C889">
        <v>0.88370000000000004</v>
      </c>
      <c r="D889">
        <v>299.6909</v>
      </c>
      <c r="E889">
        <v>264.99191000000002</v>
      </c>
      <c r="F889">
        <v>0</v>
      </c>
    </row>
    <row r="890" spans="1:6" x14ac:dyDescent="0.3">
      <c r="A890" s="51">
        <v>45990.74050925926</v>
      </c>
      <c r="B890">
        <v>1290</v>
      </c>
      <c r="C890">
        <v>0.88370000000000004</v>
      </c>
      <c r="D890">
        <v>299.39080000000001</v>
      </c>
      <c r="E890">
        <v>264.36694</v>
      </c>
      <c r="F890">
        <v>0</v>
      </c>
    </row>
    <row r="891" spans="1:6" x14ac:dyDescent="0.3">
      <c r="A891" s="51">
        <v>45990.740624999999</v>
      </c>
      <c r="B891">
        <v>1300</v>
      </c>
      <c r="C891">
        <v>0.88249999999999995</v>
      </c>
      <c r="D891">
        <v>299.0659</v>
      </c>
      <c r="E891">
        <v>264.36694</v>
      </c>
      <c r="F891">
        <v>0</v>
      </c>
    </row>
    <row r="892" spans="1:6" x14ac:dyDescent="0.3">
      <c r="A892" s="51">
        <v>45990.740740740737</v>
      </c>
      <c r="B892">
        <v>1310</v>
      </c>
      <c r="C892">
        <v>0.88119999999999998</v>
      </c>
      <c r="D892">
        <v>298.74090000000001</v>
      </c>
      <c r="E892">
        <v>263.11696999999998</v>
      </c>
      <c r="F892">
        <v>0</v>
      </c>
    </row>
    <row r="893" spans="1:6" x14ac:dyDescent="0.3">
      <c r="A893" s="51">
        <v>45990.740856481483</v>
      </c>
      <c r="B893">
        <v>1320</v>
      </c>
      <c r="C893">
        <v>0.88</v>
      </c>
      <c r="D893">
        <v>298.4409</v>
      </c>
      <c r="E893">
        <v>261.86700000000002</v>
      </c>
      <c r="F893">
        <v>0</v>
      </c>
    </row>
    <row r="894" spans="1:6" x14ac:dyDescent="0.3">
      <c r="A894" s="51">
        <v>45990.740972222222</v>
      </c>
      <c r="B894">
        <v>1330</v>
      </c>
      <c r="C894">
        <v>0.87870000000000004</v>
      </c>
      <c r="D894">
        <v>298.1909</v>
      </c>
      <c r="E894">
        <v>261.86700000000002</v>
      </c>
      <c r="F894">
        <v>0</v>
      </c>
    </row>
    <row r="895" spans="1:6" x14ac:dyDescent="0.3">
      <c r="A895" s="51">
        <v>45990.741087962961</v>
      </c>
      <c r="B895">
        <v>1340</v>
      </c>
      <c r="C895">
        <v>0.88119999999999998</v>
      </c>
      <c r="D895">
        <v>297.9409</v>
      </c>
      <c r="E895">
        <v>261.86700000000002</v>
      </c>
      <c r="F895">
        <v>0</v>
      </c>
    </row>
    <row r="896" spans="1:6" x14ac:dyDescent="0.3">
      <c r="A896" s="51">
        <v>45990.741203703707</v>
      </c>
      <c r="B896">
        <v>1350</v>
      </c>
      <c r="C896">
        <v>1.1787000000000001</v>
      </c>
      <c r="D896">
        <v>0</v>
      </c>
      <c r="E896">
        <v>0</v>
      </c>
      <c r="F896">
        <v>1</v>
      </c>
    </row>
    <row r="897" spans="1:6" x14ac:dyDescent="0.3">
      <c r="A897" s="51">
        <v>45990.741319444445</v>
      </c>
      <c r="B897">
        <v>1360</v>
      </c>
      <c r="C897">
        <v>1.2</v>
      </c>
      <c r="D897">
        <v>0</v>
      </c>
      <c r="E897">
        <v>0</v>
      </c>
      <c r="F897">
        <v>1</v>
      </c>
    </row>
    <row r="898" spans="1:6" x14ac:dyDescent="0.3">
      <c r="A898" s="51">
        <v>45990.741435185184</v>
      </c>
      <c r="B898">
        <v>1370</v>
      </c>
      <c r="C898">
        <v>1.2088000000000001</v>
      </c>
      <c r="D898">
        <v>2.5000000000000001E-2</v>
      </c>
      <c r="E898">
        <v>0</v>
      </c>
      <c r="F898">
        <v>1</v>
      </c>
    </row>
    <row r="899" spans="1:6" x14ac:dyDescent="0.3">
      <c r="A899" s="51">
        <v>45990.741550925923</v>
      </c>
      <c r="B899">
        <v>1380</v>
      </c>
      <c r="C899">
        <v>1.2150000000000001</v>
      </c>
      <c r="D899">
        <v>0</v>
      </c>
      <c r="E899">
        <v>0</v>
      </c>
      <c r="F899">
        <v>1</v>
      </c>
    </row>
    <row r="900" spans="1:6" x14ac:dyDescent="0.3">
      <c r="A900" s="51">
        <v>45990.741666666669</v>
      </c>
      <c r="B900">
        <v>1390</v>
      </c>
      <c r="C900">
        <v>1.2188000000000001</v>
      </c>
      <c r="D900">
        <v>0</v>
      </c>
      <c r="E900">
        <v>0</v>
      </c>
      <c r="F900">
        <v>1</v>
      </c>
    </row>
    <row r="901" spans="1:6" x14ac:dyDescent="0.3">
      <c r="A901" s="51">
        <v>45990.741782407407</v>
      </c>
      <c r="B901">
        <v>1400</v>
      </c>
      <c r="C901">
        <v>1.2224999999999999</v>
      </c>
      <c r="D901">
        <v>0</v>
      </c>
      <c r="E901">
        <v>0</v>
      </c>
      <c r="F901">
        <v>1</v>
      </c>
    </row>
    <row r="902" spans="1:6" x14ac:dyDescent="0.3">
      <c r="A902" s="51">
        <v>45990.741898148146</v>
      </c>
      <c r="B902">
        <v>1410</v>
      </c>
      <c r="C902">
        <v>0.92620000000000002</v>
      </c>
      <c r="D902">
        <v>313.24040000000002</v>
      </c>
      <c r="E902">
        <v>289.99115</v>
      </c>
      <c r="F902">
        <v>0</v>
      </c>
    </row>
    <row r="903" spans="1:6" x14ac:dyDescent="0.3">
      <c r="A903" s="51">
        <v>45990.742013888892</v>
      </c>
      <c r="B903">
        <v>1420</v>
      </c>
      <c r="C903">
        <v>0.90249999999999997</v>
      </c>
      <c r="D903">
        <v>305.44069999999999</v>
      </c>
      <c r="E903">
        <v>275.61658</v>
      </c>
      <c r="F903">
        <v>0</v>
      </c>
    </row>
    <row r="904" spans="1:6" x14ac:dyDescent="0.3">
      <c r="A904" s="51">
        <v>45990.742129629631</v>
      </c>
      <c r="B904">
        <v>1430</v>
      </c>
      <c r="C904">
        <v>0.89370000000000005</v>
      </c>
      <c r="D904">
        <v>302.7158</v>
      </c>
      <c r="E904">
        <v>270.61673000000002</v>
      </c>
      <c r="F904">
        <v>0</v>
      </c>
    </row>
    <row r="905" spans="1:6" x14ac:dyDescent="0.3">
      <c r="A905" s="51">
        <v>45990.742245370369</v>
      </c>
      <c r="B905">
        <v>1440</v>
      </c>
      <c r="C905">
        <v>0.88870000000000005</v>
      </c>
      <c r="D905">
        <v>301.16579999999999</v>
      </c>
      <c r="E905">
        <v>267.49182000000002</v>
      </c>
      <c r="F905">
        <v>0</v>
      </c>
    </row>
    <row r="906" spans="1:6" x14ac:dyDescent="0.3">
      <c r="A906" s="51">
        <v>45990.742361111108</v>
      </c>
      <c r="B906">
        <v>1450</v>
      </c>
      <c r="C906">
        <v>0.88619999999999999</v>
      </c>
      <c r="D906">
        <v>300.04079999999999</v>
      </c>
      <c r="E906">
        <v>265.61687999999998</v>
      </c>
      <c r="F906">
        <v>0</v>
      </c>
    </row>
    <row r="907" spans="1:6" x14ac:dyDescent="0.3">
      <c r="A907" s="51">
        <v>45990.742476851854</v>
      </c>
      <c r="B907">
        <v>1460</v>
      </c>
      <c r="C907">
        <v>0.88249999999999995</v>
      </c>
      <c r="D907">
        <v>299.21589999999998</v>
      </c>
      <c r="E907">
        <v>264.36694</v>
      </c>
      <c r="F907">
        <v>0</v>
      </c>
    </row>
    <row r="908" spans="1:6" x14ac:dyDescent="0.3">
      <c r="A908" s="51">
        <v>45990.742592592593</v>
      </c>
      <c r="B908">
        <v>1470</v>
      </c>
      <c r="C908">
        <v>0.88</v>
      </c>
      <c r="D908">
        <v>298.49090000000001</v>
      </c>
      <c r="E908">
        <v>261.86700000000002</v>
      </c>
      <c r="F908">
        <v>0</v>
      </c>
    </row>
    <row r="909" spans="1:6" x14ac:dyDescent="0.3">
      <c r="A909" s="51">
        <v>45990.742708333331</v>
      </c>
      <c r="B909">
        <v>1480</v>
      </c>
      <c r="C909">
        <v>0.87749999999999995</v>
      </c>
      <c r="D909">
        <v>297.89089999999999</v>
      </c>
      <c r="E909">
        <v>261.24203</v>
      </c>
      <c r="F909">
        <v>0</v>
      </c>
    </row>
    <row r="910" spans="1:6" x14ac:dyDescent="0.3">
      <c r="A910" s="51">
        <v>45990.742824074077</v>
      </c>
      <c r="B910">
        <v>1490</v>
      </c>
      <c r="C910">
        <v>0.87870000000000004</v>
      </c>
      <c r="D910">
        <v>297.3159</v>
      </c>
      <c r="E910">
        <v>261.24203</v>
      </c>
      <c r="F910">
        <v>0</v>
      </c>
    </row>
    <row r="911" spans="1:6" x14ac:dyDescent="0.3">
      <c r="A911" s="51">
        <v>45990.742939814816</v>
      </c>
      <c r="B911">
        <v>1500</v>
      </c>
      <c r="C911">
        <v>0.87749999999999995</v>
      </c>
      <c r="D911">
        <v>296.8159</v>
      </c>
      <c r="E911">
        <v>259.99207000000001</v>
      </c>
      <c r="F911">
        <v>0</v>
      </c>
    </row>
    <row r="912" spans="1:6" x14ac:dyDescent="0.3">
      <c r="A912" s="51">
        <v>45990.743055555555</v>
      </c>
      <c r="B912">
        <v>1510</v>
      </c>
      <c r="C912">
        <v>0.875</v>
      </c>
      <c r="D912">
        <v>296.34089999999998</v>
      </c>
      <c r="E912">
        <v>259.36709999999999</v>
      </c>
      <c r="F912">
        <v>0</v>
      </c>
    </row>
    <row r="913" spans="1:6" x14ac:dyDescent="0.3">
      <c r="A913" s="51">
        <v>45990.743171296293</v>
      </c>
      <c r="B913">
        <v>1520</v>
      </c>
      <c r="C913">
        <v>0.87370000000000003</v>
      </c>
      <c r="D913">
        <v>295.916</v>
      </c>
      <c r="E913">
        <v>258.11712999999997</v>
      </c>
      <c r="F913">
        <v>0</v>
      </c>
    </row>
    <row r="914" spans="1:6" x14ac:dyDescent="0.3">
      <c r="A914" s="51">
        <v>45990.743287037039</v>
      </c>
      <c r="B914">
        <v>1530</v>
      </c>
      <c r="C914">
        <v>0.87250000000000005</v>
      </c>
      <c r="D914">
        <v>295.49099999999999</v>
      </c>
      <c r="E914">
        <v>258.11712999999997</v>
      </c>
      <c r="F914">
        <v>0</v>
      </c>
    </row>
    <row r="915" spans="1:6" x14ac:dyDescent="0.3">
      <c r="A915" s="51">
        <v>45990.743402777778</v>
      </c>
      <c r="B915">
        <v>1540</v>
      </c>
      <c r="C915">
        <v>0.87119999999999997</v>
      </c>
      <c r="D915">
        <v>295.09100000000001</v>
      </c>
      <c r="E915">
        <v>256.86716000000001</v>
      </c>
      <c r="F915">
        <v>0</v>
      </c>
    </row>
    <row r="916" spans="1:6" x14ac:dyDescent="0.3">
      <c r="A916" s="51">
        <v>45990.743518518517</v>
      </c>
      <c r="B916">
        <v>1550</v>
      </c>
      <c r="C916">
        <v>0.87</v>
      </c>
      <c r="D916">
        <v>294.666</v>
      </c>
      <c r="E916">
        <v>256.24218999999999</v>
      </c>
      <c r="F916">
        <v>0</v>
      </c>
    </row>
    <row r="917" spans="1:6" x14ac:dyDescent="0.3">
      <c r="A917" s="51">
        <v>45990.743634259263</v>
      </c>
      <c r="B917">
        <v>1560</v>
      </c>
      <c r="C917">
        <v>0.86870000000000003</v>
      </c>
      <c r="D917">
        <v>294.291</v>
      </c>
      <c r="E917">
        <v>256.24218999999999</v>
      </c>
      <c r="F917">
        <v>0</v>
      </c>
    </row>
    <row r="918" spans="1:6" x14ac:dyDescent="0.3">
      <c r="A918" s="51">
        <v>45990.743750000001</v>
      </c>
      <c r="B918">
        <v>1570</v>
      </c>
      <c r="C918">
        <v>0.86870000000000003</v>
      </c>
      <c r="D918">
        <v>293.916</v>
      </c>
      <c r="E918">
        <v>254.99222</v>
      </c>
      <c r="F918">
        <v>0</v>
      </c>
    </row>
    <row r="919" spans="1:6" x14ac:dyDescent="0.3">
      <c r="A919" s="51">
        <v>45990.74386574074</v>
      </c>
      <c r="B919">
        <v>1580</v>
      </c>
      <c r="C919">
        <v>0.86750000000000005</v>
      </c>
      <c r="D919">
        <v>293.59100000000001</v>
      </c>
      <c r="E919">
        <v>254.36723000000001</v>
      </c>
      <c r="F919">
        <v>0</v>
      </c>
    </row>
    <row r="920" spans="1:6" x14ac:dyDescent="0.3">
      <c r="A920" s="51">
        <v>45990.743981481479</v>
      </c>
      <c r="B920">
        <v>1590</v>
      </c>
      <c r="C920">
        <v>1.17</v>
      </c>
      <c r="D920">
        <v>2.5000000000000001E-2</v>
      </c>
      <c r="E920">
        <v>0</v>
      </c>
      <c r="F920">
        <v>1</v>
      </c>
    </row>
    <row r="921" spans="1:6" x14ac:dyDescent="0.3">
      <c r="A921" s="51">
        <v>45990.744097222225</v>
      </c>
      <c r="B921">
        <v>1600</v>
      </c>
      <c r="C921">
        <v>1.1950000000000001</v>
      </c>
      <c r="D921">
        <v>0</v>
      </c>
      <c r="E921">
        <v>0</v>
      </c>
      <c r="F921">
        <v>1</v>
      </c>
    </row>
    <row r="922" spans="1:6" x14ac:dyDescent="0.3">
      <c r="A922" s="51">
        <v>45990.744212962964</v>
      </c>
      <c r="B922">
        <v>1610</v>
      </c>
      <c r="C922">
        <v>1.2024999999999999</v>
      </c>
      <c r="D922">
        <v>0</v>
      </c>
      <c r="E922">
        <v>0</v>
      </c>
      <c r="F922">
        <v>1</v>
      </c>
    </row>
    <row r="923" spans="1:6" x14ac:dyDescent="0.3">
      <c r="A923" s="51">
        <v>45990.744328703702</v>
      </c>
      <c r="B923">
        <v>1620</v>
      </c>
      <c r="C923">
        <v>1.2088000000000001</v>
      </c>
      <c r="D923">
        <v>0</v>
      </c>
      <c r="E923">
        <v>0</v>
      </c>
      <c r="F923">
        <v>1</v>
      </c>
    </row>
    <row r="924" spans="1:6" x14ac:dyDescent="0.3">
      <c r="A924" s="51">
        <v>45990.744444444441</v>
      </c>
      <c r="B924">
        <v>1630</v>
      </c>
      <c r="C924">
        <v>1.2124999999999999</v>
      </c>
      <c r="D924">
        <v>0</v>
      </c>
      <c r="E924">
        <v>0</v>
      </c>
      <c r="F924">
        <v>1</v>
      </c>
    </row>
    <row r="925" spans="1:6" x14ac:dyDescent="0.3">
      <c r="A925" s="51">
        <v>45990.744560185187</v>
      </c>
      <c r="B925">
        <v>1640</v>
      </c>
      <c r="C925">
        <v>1.2161999999999999</v>
      </c>
      <c r="D925">
        <v>2.5000000000000001E-2</v>
      </c>
      <c r="E925">
        <v>0</v>
      </c>
      <c r="F925">
        <v>1</v>
      </c>
    </row>
    <row r="926" spans="1:6" x14ac:dyDescent="0.3">
      <c r="A926" s="51">
        <v>45990.744675925926</v>
      </c>
      <c r="B926">
        <v>1650</v>
      </c>
      <c r="C926">
        <v>0.91749999999999998</v>
      </c>
      <c r="D926">
        <v>310.06549999999999</v>
      </c>
      <c r="E926">
        <v>284.36633</v>
      </c>
      <c r="F926">
        <v>0</v>
      </c>
    </row>
    <row r="927" spans="1:6" x14ac:dyDescent="0.3">
      <c r="A927" s="51">
        <v>45990.744791666664</v>
      </c>
      <c r="B927">
        <v>1660</v>
      </c>
      <c r="C927">
        <v>0.89</v>
      </c>
      <c r="D927">
        <v>301.36579999999998</v>
      </c>
      <c r="E927">
        <v>268.11682000000002</v>
      </c>
      <c r="F927">
        <v>0</v>
      </c>
    </row>
    <row r="928" spans="1:6" x14ac:dyDescent="0.3">
      <c r="A928" s="51">
        <v>45990.74490740741</v>
      </c>
      <c r="B928">
        <v>1670</v>
      </c>
      <c r="C928">
        <v>0.88119999999999998</v>
      </c>
      <c r="D928">
        <v>298.36590000000001</v>
      </c>
      <c r="E928">
        <v>263.11696999999998</v>
      </c>
      <c r="F928">
        <v>0</v>
      </c>
    </row>
    <row r="929" spans="1:6" x14ac:dyDescent="0.3">
      <c r="A929" s="51">
        <v>45990.745023148149</v>
      </c>
      <c r="B929">
        <v>1680</v>
      </c>
      <c r="C929">
        <v>0.87749999999999995</v>
      </c>
      <c r="D929">
        <v>296.74090000000001</v>
      </c>
      <c r="E929">
        <v>259.99207000000001</v>
      </c>
      <c r="F929">
        <v>0</v>
      </c>
    </row>
    <row r="930" spans="1:6" x14ac:dyDescent="0.3">
      <c r="A930" s="51">
        <v>45990.745138888888</v>
      </c>
      <c r="B930">
        <v>1690</v>
      </c>
      <c r="C930">
        <v>0.87370000000000003</v>
      </c>
      <c r="D930">
        <v>295.56599999999997</v>
      </c>
      <c r="E930">
        <v>258.11712999999997</v>
      </c>
      <c r="F930">
        <v>0</v>
      </c>
    </row>
    <row r="931" spans="1:6" x14ac:dyDescent="0.3">
      <c r="A931" s="51">
        <v>45990.745254629626</v>
      </c>
      <c r="B931">
        <v>1700</v>
      </c>
      <c r="C931">
        <v>0.87</v>
      </c>
      <c r="D931">
        <v>294.666</v>
      </c>
      <c r="E931">
        <v>256.24218999999999</v>
      </c>
      <c r="F931">
        <v>0</v>
      </c>
    </row>
    <row r="932" spans="1:6" x14ac:dyDescent="0.3">
      <c r="A932" s="51">
        <v>45990.745370370372</v>
      </c>
      <c r="B932">
        <v>1710</v>
      </c>
      <c r="C932">
        <v>0.86870000000000003</v>
      </c>
      <c r="D932">
        <v>293.916</v>
      </c>
      <c r="E932">
        <v>254.99222</v>
      </c>
      <c r="F932">
        <v>0</v>
      </c>
    </row>
    <row r="933" spans="1:6" x14ac:dyDescent="0.3">
      <c r="A933" s="51">
        <v>45990.745486111111</v>
      </c>
      <c r="B933">
        <v>1720</v>
      </c>
      <c r="C933">
        <v>0.86619999999999997</v>
      </c>
      <c r="D933">
        <v>293.26609999999999</v>
      </c>
      <c r="E933">
        <v>253.74225000000001</v>
      </c>
      <c r="F933">
        <v>0</v>
      </c>
    </row>
    <row r="934" spans="1:6" x14ac:dyDescent="0.3">
      <c r="A934" s="51">
        <v>45990.74560185185</v>
      </c>
      <c r="B934">
        <v>1730</v>
      </c>
      <c r="C934">
        <v>0.86370000000000002</v>
      </c>
      <c r="D934">
        <v>292.666</v>
      </c>
      <c r="E934">
        <v>253.11727999999999</v>
      </c>
      <c r="F934">
        <v>0</v>
      </c>
    </row>
    <row r="935" spans="1:6" x14ac:dyDescent="0.3">
      <c r="A935" s="51">
        <v>45990.745717592596</v>
      </c>
      <c r="B935">
        <v>1740</v>
      </c>
      <c r="C935">
        <v>0.86250000000000004</v>
      </c>
      <c r="D935">
        <v>292.11610000000002</v>
      </c>
      <c r="E935">
        <v>251.86731</v>
      </c>
      <c r="F935">
        <v>0</v>
      </c>
    </row>
    <row r="936" spans="1:6" x14ac:dyDescent="0.3">
      <c r="A936" s="51">
        <v>45990.745833333334</v>
      </c>
      <c r="B936">
        <v>1750</v>
      </c>
      <c r="C936">
        <v>0.86</v>
      </c>
      <c r="D936">
        <v>291.61610000000002</v>
      </c>
      <c r="E936">
        <v>250.61735999999999</v>
      </c>
      <c r="F936">
        <v>0</v>
      </c>
    </row>
    <row r="937" spans="1:6" x14ac:dyDescent="0.3">
      <c r="A937" s="51">
        <v>45990.745949074073</v>
      </c>
      <c r="B937">
        <v>1760</v>
      </c>
      <c r="C937">
        <v>0.85870000000000002</v>
      </c>
      <c r="D937">
        <v>291.14109999999999</v>
      </c>
      <c r="E937">
        <v>249.99236999999999</v>
      </c>
      <c r="F937">
        <v>0</v>
      </c>
    </row>
    <row r="938" spans="1:6" x14ac:dyDescent="0.3">
      <c r="A938" s="51">
        <v>45990.746064814812</v>
      </c>
      <c r="B938">
        <v>1770</v>
      </c>
      <c r="C938">
        <v>0.85870000000000002</v>
      </c>
      <c r="D938">
        <v>290.69110000000001</v>
      </c>
      <c r="E938">
        <v>249.99236999999999</v>
      </c>
      <c r="F938">
        <v>0</v>
      </c>
    </row>
    <row r="939" spans="1:6" x14ac:dyDescent="0.3">
      <c r="A939" s="51">
        <v>45990.746180555558</v>
      </c>
      <c r="B939">
        <v>1780</v>
      </c>
      <c r="C939">
        <v>0.85750000000000004</v>
      </c>
      <c r="D939">
        <v>290.26609999999999</v>
      </c>
      <c r="E939">
        <v>248.7424</v>
      </c>
      <c r="F939">
        <v>0</v>
      </c>
    </row>
    <row r="940" spans="1:6" x14ac:dyDescent="0.3">
      <c r="A940" s="51">
        <v>45990.746296296296</v>
      </c>
      <c r="B940">
        <v>1790</v>
      </c>
      <c r="C940">
        <v>0.85619999999999996</v>
      </c>
      <c r="D940">
        <v>289.89109999999999</v>
      </c>
      <c r="E940">
        <v>247.49244999999999</v>
      </c>
      <c r="F940">
        <v>0</v>
      </c>
    </row>
    <row r="941" spans="1:6" x14ac:dyDescent="0.3">
      <c r="A941" s="51">
        <v>45990.746412037035</v>
      </c>
      <c r="B941">
        <v>1800</v>
      </c>
      <c r="C941">
        <v>0.85499999999999998</v>
      </c>
      <c r="D941">
        <v>289.49110000000002</v>
      </c>
      <c r="E941">
        <v>247.49244999999999</v>
      </c>
      <c r="F941">
        <v>0</v>
      </c>
    </row>
    <row r="942" spans="1:6" x14ac:dyDescent="0.3">
      <c r="A942" s="51">
        <v>45990.746527777781</v>
      </c>
      <c r="B942">
        <v>1810</v>
      </c>
      <c r="C942">
        <v>0.85370000000000001</v>
      </c>
      <c r="D942">
        <v>289.11619999999999</v>
      </c>
      <c r="E942">
        <v>246.86745999999999</v>
      </c>
      <c r="F942">
        <v>0</v>
      </c>
    </row>
    <row r="943" spans="1:6" x14ac:dyDescent="0.3">
      <c r="A943" s="51">
        <v>45990.74664351852</v>
      </c>
      <c r="B943">
        <v>1820</v>
      </c>
      <c r="C943">
        <v>0.85250000000000004</v>
      </c>
      <c r="D943">
        <v>288.71620000000001</v>
      </c>
      <c r="E943">
        <v>245.61751000000001</v>
      </c>
      <c r="F943">
        <v>0</v>
      </c>
    </row>
    <row r="944" spans="1:6" x14ac:dyDescent="0.3">
      <c r="A944" s="51">
        <v>45990.746759259258</v>
      </c>
      <c r="B944">
        <v>1830</v>
      </c>
      <c r="C944">
        <v>1.1587000000000001</v>
      </c>
      <c r="D944">
        <v>0</v>
      </c>
      <c r="E944">
        <v>0</v>
      </c>
      <c r="F944">
        <v>1</v>
      </c>
    </row>
    <row r="945" spans="1:6" x14ac:dyDescent="0.3">
      <c r="A945" s="51">
        <v>45990.746874999997</v>
      </c>
      <c r="B945">
        <v>1840</v>
      </c>
      <c r="C945">
        <v>1.1888000000000001</v>
      </c>
      <c r="D945">
        <v>0</v>
      </c>
      <c r="E945">
        <v>0</v>
      </c>
      <c r="F945">
        <v>1</v>
      </c>
    </row>
    <row r="946" spans="1:6" x14ac:dyDescent="0.3">
      <c r="A946" s="51">
        <v>45990.746990740743</v>
      </c>
      <c r="B946">
        <v>1850</v>
      </c>
      <c r="C946">
        <v>1.1975</v>
      </c>
      <c r="D946">
        <v>2.5000000000000001E-2</v>
      </c>
      <c r="E946">
        <v>0</v>
      </c>
      <c r="F946">
        <v>1</v>
      </c>
    </row>
    <row r="947" spans="1:6" x14ac:dyDescent="0.3">
      <c r="A947" s="51">
        <v>45990.747106481482</v>
      </c>
      <c r="B947">
        <v>1860</v>
      </c>
      <c r="C947">
        <v>1.2024999999999999</v>
      </c>
      <c r="D947">
        <v>2.5000000000000001E-2</v>
      </c>
      <c r="E947">
        <v>0</v>
      </c>
      <c r="F947">
        <v>1</v>
      </c>
    </row>
    <row r="948" spans="1:6" x14ac:dyDescent="0.3">
      <c r="A948" s="51">
        <v>45990.74722222222</v>
      </c>
      <c r="B948">
        <v>1870</v>
      </c>
      <c r="C948">
        <v>1.2061999999999999</v>
      </c>
      <c r="D948">
        <v>0</v>
      </c>
      <c r="E948">
        <v>0</v>
      </c>
      <c r="F948">
        <v>1</v>
      </c>
    </row>
    <row r="949" spans="1:6" x14ac:dyDescent="0.3">
      <c r="A949" s="51">
        <v>45990.747337962966</v>
      </c>
      <c r="B949">
        <v>1880</v>
      </c>
      <c r="C949">
        <v>1.21</v>
      </c>
      <c r="D949">
        <v>0</v>
      </c>
      <c r="E949">
        <v>0</v>
      </c>
      <c r="F949">
        <v>1</v>
      </c>
    </row>
    <row r="950" spans="1:6" x14ac:dyDescent="0.3">
      <c r="A950" s="51">
        <v>45990.747453703705</v>
      </c>
      <c r="B950">
        <v>1890</v>
      </c>
      <c r="C950">
        <v>0.90629999999999999</v>
      </c>
      <c r="D950">
        <v>306.51560000000001</v>
      </c>
      <c r="E950">
        <v>278.11651999999998</v>
      </c>
      <c r="F950">
        <v>0</v>
      </c>
    </row>
    <row r="951" spans="1:6" x14ac:dyDescent="0.3">
      <c r="A951" s="51">
        <v>45990.747569444444</v>
      </c>
      <c r="B951">
        <v>1900</v>
      </c>
      <c r="C951">
        <v>0.87619999999999998</v>
      </c>
      <c r="D951">
        <v>296.64089999999999</v>
      </c>
      <c r="E951">
        <v>259.99207000000001</v>
      </c>
      <c r="F951">
        <v>0</v>
      </c>
    </row>
    <row r="952" spans="1:6" x14ac:dyDescent="0.3">
      <c r="A952" s="51">
        <v>45990.747685185182</v>
      </c>
      <c r="B952">
        <v>1910</v>
      </c>
      <c r="C952">
        <v>0.86619999999999997</v>
      </c>
      <c r="D952">
        <v>293.21600000000001</v>
      </c>
      <c r="E952">
        <v>253.74225000000001</v>
      </c>
      <c r="F952">
        <v>0</v>
      </c>
    </row>
    <row r="953" spans="1:6" x14ac:dyDescent="0.3">
      <c r="A953" s="51">
        <v>45990.747800925928</v>
      </c>
      <c r="B953">
        <v>1920</v>
      </c>
      <c r="C953">
        <v>0.86</v>
      </c>
      <c r="D953">
        <v>291.39109999999999</v>
      </c>
      <c r="E953">
        <v>250.61735999999999</v>
      </c>
      <c r="F953">
        <v>0</v>
      </c>
    </row>
    <row r="954" spans="1:6" x14ac:dyDescent="0.3">
      <c r="A954" s="51">
        <v>45990.747916666667</v>
      </c>
      <c r="B954">
        <v>1930</v>
      </c>
      <c r="C954">
        <v>0.85619999999999996</v>
      </c>
      <c r="D954">
        <v>290.16609999999997</v>
      </c>
      <c r="E954">
        <v>248.7424</v>
      </c>
      <c r="F954">
        <v>0</v>
      </c>
    </row>
    <row r="955" spans="1:6" x14ac:dyDescent="0.3">
      <c r="A955" s="51">
        <v>45990.748032407406</v>
      </c>
      <c r="B955">
        <v>1940</v>
      </c>
      <c r="C955">
        <v>0.85370000000000001</v>
      </c>
      <c r="D955">
        <v>289.19119999999998</v>
      </c>
      <c r="E955">
        <v>246.86745999999999</v>
      </c>
      <c r="F955">
        <v>0</v>
      </c>
    </row>
    <row r="956" spans="1:6" x14ac:dyDescent="0.3">
      <c r="A956" s="51">
        <v>45990.748148148145</v>
      </c>
      <c r="B956">
        <v>1950</v>
      </c>
      <c r="C956">
        <v>0.85119999999999996</v>
      </c>
      <c r="D956">
        <v>288.4162</v>
      </c>
      <c r="E956">
        <v>245.61751000000001</v>
      </c>
      <c r="F956">
        <v>0</v>
      </c>
    </row>
    <row r="957" spans="1:6" x14ac:dyDescent="0.3">
      <c r="A957" s="51">
        <v>45990.748263888891</v>
      </c>
      <c r="B957">
        <v>1960</v>
      </c>
      <c r="C957">
        <v>0.84870000000000001</v>
      </c>
      <c r="D957">
        <v>287.74119999999999</v>
      </c>
      <c r="E957">
        <v>244.36753999999999</v>
      </c>
      <c r="F957">
        <v>0</v>
      </c>
    </row>
    <row r="958" spans="1:6" x14ac:dyDescent="0.3">
      <c r="A958" s="51">
        <v>45990.748379629629</v>
      </c>
      <c r="B958">
        <v>1970</v>
      </c>
      <c r="C958">
        <v>0.84750000000000003</v>
      </c>
      <c r="D958">
        <v>287.14120000000003</v>
      </c>
      <c r="E958">
        <v>243.11758</v>
      </c>
      <c r="F958">
        <v>0</v>
      </c>
    </row>
    <row r="959" spans="1:6" x14ac:dyDescent="0.3">
      <c r="A959" s="51">
        <v>45990.748495370368</v>
      </c>
      <c r="B959">
        <v>1980</v>
      </c>
      <c r="C959">
        <v>0.84499999999999997</v>
      </c>
      <c r="D959">
        <v>286.56630000000001</v>
      </c>
      <c r="E959">
        <v>241.86761000000001</v>
      </c>
      <c r="F959">
        <v>0</v>
      </c>
    </row>
    <row r="960" spans="1:6" x14ac:dyDescent="0.3">
      <c r="A960" s="51">
        <v>45990.748611111114</v>
      </c>
      <c r="B960">
        <v>1990</v>
      </c>
      <c r="C960">
        <v>0.84379999999999999</v>
      </c>
      <c r="D960">
        <v>286.09120000000001</v>
      </c>
      <c r="E960">
        <v>241.86761000000001</v>
      </c>
      <c r="F960">
        <v>0</v>
      </c>
    </row>
    <row r="961" spans="1:6" x14ac:dyDescent="0.3">
      <c r="A961" s="51">
        <v>45990.748726851853</v>
      </c>
      <c r="B961">
        <v>2000</v>
      </c>
      <c r="C961">
        <v>0.84130000000000005</v>
      </c>
      <c r="D961">
        <v>285.6413</v>
      </c>
      <c r="E961">
        <v>240.61766</v>
      </c>
      <c r="F961">
        <v>0</v>
      </c>
    </row>
    <row r="962" spans="1:6" x14ac:dyDescent="0.3">
      <c r="A962" s="51">
        <v>45990.748842592591</v>
      </c>
      <c r="B962">
        <v>2010</v>
      </c>
      <c r="C962">
        <v>0.84130000000000005</v>
      </c>
      <c r="D962">
        <v>285.21629999999999</v>
      </c>
      <c r="E962">
        <v>239.36769000000001</v>
      </c>
      <c r="F962">
        <v>0</v>
      </c>
    </row>
    <row r="963" spans="1:6" x14ac:dyDescent="0.3">
      <c r="A963" s="51">
        <v>45990.74895833333</v>
      </c>
      <c r="B963">
        <v>2020</v>
      </c>
      <c r="C963">
        <v>0.84</v>
      </c>
      <c r="D963">
        <v>284.81630000000001</v>
      </c>
      <c r="E963">
        <v>239.36769000000001</v>
      </c>
      <c r="F963">
        <v>0</v>
      </c>
    </row>
    <row r="964" spans="1:6" x14ac:dyDescent="0.3">
      <c r="A964" s="51">
        <v>45990.749074074076</v>
      </c>
      <c r="B964">
        <v>2030</v>
      </c>
      <c r="C964">
        <v>0.83879999999999999</v>
      </c>
      <c r="D964">
        <v>284.41629999999998</v>
      </c>
      <c r="E964">
        <v>238.74270999999999</v>
      </c>
      <c r="F964">
        <v>0</v>
      </c>
    </row>
    <row r="965" spans="1:6" x14ac:dyDescent="0.3">
      <c r="A965" s="51">
        <v>45990.749189814815</v>
      </c>
      <c r="B965">
        <v>2040</v>
      </c>
      <c r="C965">
        <v>0.83879999999999999</v>
      </c>
      <c r="D965">
        <v>284.04129999999998</v>
      </c>
      <c r="E965">
        <v>238.74270999999999</v>
      </c>
      <c r="F965">
        <v>0</v>
      </c>
    </row>
    <row r="966" spans="1:6" x14ac:dyDescent="0.3">
      <c r="A966" s="51">
        <v>45990.749305555553</v>
      </c>
      <c r="B966">
        <v>2050</v>
      </c>
      <c r="C966">
        <v>0.83750000000000002</v>
      </c>
      <c r="D966">
        <v>283.6413</v>
      </c>
      <c r="E966">
        <v>237.49275</v>
      </c>
      <c r="F966">
        <v>0</v>
      </c>
    </row>
    <row r="967" spans="1:6" x14ac:dyDescent="0.3">
      <c r="A967" s="51">
        <v>45990.749421296299</v>
      </c>
      <c r="B967">
        <v>2060</v>
      </c>
      <c r="C967">
        <v>0.83630000000000004</v>
      </c>
      <c r="D967">
        <v>283.26639999999998</v>
      </c>
      <c r="E967">
        <v>236.24279999999999</v>
      </c>
      <c r="F967">
        <v>0</v>
      </c>
    </row>
    <row r="968" spans="1:6" x14ac:dyDescent="0.3">
      <c r="A968" s="51">
        <v>45990.749537037038</v>
      </c>
      <c r="B968">
        <v>2070</v>
      </c>
      <c r="C968">
        <v>1.1463000000000001</v>
      </c>
      <c r="D968">
        <v>0</v>
      </c>
      <c r="E968">
        <v>0</v>
      </c>
      <c r="F968">
        <v>1</v>
      </c>
    </row>
    <row r="969" spans="1:6" x14ac:dyDescent="0.3">
      <c r="A969" s="51">
        <v>45990.749652777777</v>
      </c>
      <c r="B969">
        <v>2080</v>
      </c>
      <c r="C969">
        <v>1.18</v>
      </c>
      <c r="D969">
        <v>0</v>
      </c>
      <c r="E969">
        <v>0</v>
      </c>
      <c r="F969">
        <v>1</v>
      </c>
    </row>
    <row r="970" spans="1:6" x14ac:dyDescent="0.3">
      <c r="A970" s="51">
        <v>45990.749768518515</v>
      </c>
      <c r="B970">
        <v>2090</v>
      </c>
      <c r="C970">
        <v>1.1912</v>
      </c>
      <c r="D970">
        <v>2.5000000000000001E-2</v>
      </c>
      <c r="E970">
        <v>0</v>
      </c>
      <c r="F970">
        <v>1</v>
      </c>
    </row>
    <row r="971" spans="1:6" x14ac:dyDescent="0.3">
      <c r="A971" s="51">
        <v>45990.749884259261</v>
      </c>
      <c r="B971">
        <v>2100</v>
      </c>
      <c r="C971">
        <v>1.1975</v>
      </c>
      <c r="D971">
        <v>2.5000000000000001E-2</v>
      </c>
      <c r="E971">
        <v>0</v>
      </c>
      <c r="F971">
        <v>1</v>
      </c>
    </row>
    <row r="972" spans="1:6" x14ac:dyDescent="0.3">
      <c r="A972" s="51">
        <v>45990.75</v>
      </c>
      <c r="B972">
        <v>2110</v>
      </c>
      <c r="C972">
        <v>1.2</v>
      </c>
      <c r="D972">
        <v>0</v>
      </c>
      <c r="E972">
        <v>0</v>
      </c>
      <c r="F972">
        <v>1</v>
      </c>
    </row>
    <row r="973" spans="1:6" x14ac:dyDescent="0.3">
      <c r="A973" s="51">
        <v>45990.750115740739</v>
      </c>
      <c r="B973">
        <v>2120</v>
      </c>
      <c r="C973">
        <v>1.2038</v>
      </c>
      <c r="D973">
        <v>0</v>
      </c>
      <c r="E973">
        <v>0</v>
      </c>
      <c r="F973">
        <v>1</v>
      </c>
    </row>
    <row r="974" spans="1:6" x14ac:dyDescent="0.3">
      <c r="A974" s="51">
        <v>45990.750231481485</v>
      </c>
      <c r="B974">
        <v>2130</v>
      </c>
      <c r="C974">
        <v>0.89880000000000004</v>
      </c>
      <c r="D974">
        <v>304.01569999999998</v>
      </c>
      <c r="E974">
        <v>273.11667</v>
      </c>
      <c r="F974">
        <v>0</v>
      </c>
    </row>
    <row r="975" spans="1:6" x14ac:dyDescent="0.3">
      <c r="A975" s="51">
        <v>45990.750347222223</v>
      </c>
      <c r="B975">
        <v>2140</v>
      </c>
      <c r="C975">
        <v>0.86499999999999999</v>
      </c>
      <c r="D975">
        <v>292.64109999999999</v>
      </c>
      <c r="E975">
        <v>253.11727999999999</v>
      </c>
      <c r="F975">
        <v>0</v>
      </c>
    </row>
    <row r="976" spans="1:6" x14ac:dyDescent="0.3">
      <c r="A976" s="51">
        <v>45990.750462962962</v>
      </c>
      <c r="B976">
        <v>2150</v>
      </c>
      <c r="C976">
        <v>0.85250000000000004</v>
      </c>
      <c r="D976">
        <v>288.7912</v>
      </c>
      <c r="E976">
        <v>245.61751000000001</v>
      </c>
      <c r="F976">
        <v>0</v>
      </c>
    </row>
    <row r="977" spans="1:6" x14ac:dyDescent="0.3">
      <c r="A977" s="51">
        <v>45990.750578703701</v>
      </c>
      <c r="B977">
        <v>2160</v>
      </c>
      <c r="C977">
        <v>0.84619999999999995</v>
      </c>
      <c r="D977">
        <v>286.7912</v>
      </c>
      <c r="E977">
        <v>242.49260000000001</v>
      </c>
      <c r="F977">
        <v>0</v>
      </c>
    </row>
    <row r="978" spans="1:6" x14ac:dyDescent="0.3">
      <c r="A978" s="51">
        <v>45990.750694444447</v>
      </c>
      <c r="B978">
        <v>2170</v>
      </c>
      <c r="C978">
        <v>0.84130000000000005</v>
      </c>
      <c r="D978">
        <v>285.5163</v>
      </c>
      <c r="E978">
        <v>240.61766</v>
      </c>
      <c r="F978">
        <v>0</v>
      </c>
    </row>
    <row r="979" spans="1:6" x14ac:dyDescent="0.3">
      <c r="A979" s="51">
        <v>45990.750810185185</v>
      </c>
      <c r="B979">
        <v>2180</v>
      </c>
      <c r="C979">
        <v>0.84</v>
      </c>
      <c r="D979">
        <v>284.54129999999998</v>
      </c>
      <c r="E979">
        <v>238.74270999999999</v>
      </c>
      <c r="F979">
        <v>0</v>
      </c>
    </row>
    <row r="980" spans="1:6" x14ac:dyDescent="0.3">
      <c r="A980" s="51">
        <v>45990.750925925924</v>
      </c>
      <c r="B980">
        <v>2190</v>
      </c>
      <c r="C980">
        <v>0.83750000000000002</v>
      </c>
      <c r="D980">
        <v>283.81630000000001</v>
      </c>
      <c r="E980">
        <v>237.49275</v>
      </c>
      <c r="F980">
        <v>0</v>
      </c>
    </row>
    <row r="981" spans="1:6" x14ac:dyDescent="0.3">
      <c r="A981" s="51">
        <v>45990.75104166667</v>
      </c>
      <c r="B981">
        <v>2200</v>
      </c>
      <c r="C981">
        <v>0.83499999999999996</v>
      </c>
      <c r="D981">
        <v>283.16640000000001</v>
      </c>
      <c r="E981">
        <v>236.24279999999999</v>
      </c>
      <c r="F981">
        <v>0</v>
      </c>
    </row>
    <row r="982" spans="1:6" x14ac:dyDescent="0.3">
      <c r="A982" s="51">
        <v>45990.751157407409</v>
      </c>
      <c r="B982">
        <v>2210</v>
      </c>
      <c r="C982">
        <v>0.83379999999999999</v>
      </c>
      <c r="D982">
        <v>282.6164</v>
      </c>
      <c r="E982">
        <v>235.61780999999999</v>
      </c>
      <c r="F982">
        <v>0</v>
      </c>
    </row>
    <row r="983" spans="1:6" x14ac:dyDescent="0.3">
      <c r="A983" s="51">
        <v>45990.751273148147</v>
      </c>
      <c r="B983">
        <v>2220</v>
      </c>
      <c r="C983">
        <v>0.83120000000000005</v>
      </c>
      <c r="D983">
        <v>282.1164</v>
      </c>
      <c r="E983">
        <v>234.36784</v>
      </c>
      <c r="F983">
        <v>0</v>
      </c>
    </row>
    <row r="984" spans="1:6" x14ac:dyDescent="0.3">
      <c r="A984" s="51">
        <v>45990.751388888886</v>
      </c>
      <c r="B984">
        <v>2230</v>
      </c>
      <c r="C984">
        <v>0.83</v>
      </c>
      <c r="D984">
        <v>281.69139999999999</v>
      </c>
      <c r="E984">
        <v>233.74286000000001</v>
      </c>
      <c r="F984">
        <v>0</v>
      </c>
    </row>
    <row r="985" spans="1:6" x14ac:dyDescent="0.3">
      <c r="A985" s="51">
        <v>45990.751504629632</v>
      </c>
      <c r="B985">
        <v>2240</v>
      </c>
      <c r="C985">
        <v>0.82869999999999999</v>
      </c>
      <c r="D985">
        <v>281.29140000000001</v>
      </c>
      <c r="E985">
        <v>233.74286000000001</v>
      </c>
      <c r="F985">
        <v>0</v>
      </c>
    </row>
    <row r="986" spans="1:6" x14ac:dyDescent="0.3">
      <c r="A986" s="51">
        <v>45990.751620370371</v>
      </c>
      <c r="B986">
        <v>2250</v>
      </c>
      <c r="C986">
        <v>0.82869999999999999</v>
      </c>
      <c r="D986">
        <v>280.91640000000001</v>
      </c>
      <c r="E986">
        <v>232.49289999999999</v>
      </c>
      <c r="F986">
        <v>0</v>
      </c>
    </row>
    <row r="987" spans="1:6" x14ac:dyDescent="0.3">
      <c r="A987" s="51">
        <v>45990.751736111109</v>
      </c>
      <c r="B987">
        <v>2260</v>
      </c>
      <c r="C987">
        <v>0.82620000000000005</v>
      </c>
      <c r="D987">
        <v>280.51639999999998</v>
      </c>
      <c r="E987">
        <v>231.86792</v>
      </c>
      <c r="F987">
        <v>0</v>
      </c>
    </row>
    <row r="988" spans="1:6" x14ac:dyDescent="0.3">
      <c r="A988" s="51">
        <v>45990.751851851855</v>
      </c>
      <c r="B988">
        <v>2270</v>
      </c>
      <c r="C988">
        <v>0.82499999999999996</v>
      </c>
      <c r="D988">
        <v>280.14139999999998</v>
      </c>
      <c r="E988">
        <v>231.24295000000001</v>
      </c>
      <c r="F988">
        <v>0</v>
      </c>
    </row>
    <row r="989" spans="1:6" x14ac:dyDescent="0.3">
      <c r="A989" s="51">
        <v>45990.751967592594</v>
      </c>
      <c r="B989">
        <v>2280</v>
      </c>
      <c r="C989">
        <v>0.82499999999999996</v>
      </c>
      <c r="D989">
        <v>279.79140000000001</v>
      </c>
      <c r="E989">
        <v>230.61797000000001</v>
      </c>
      <c r="F989">
        <v>0</v>
      </c>
    </row>
    <row r="990" spans="1:6" x14ac:dyDescent="0.3">
      <c r="A990" s="51">
        <v>45990.752083333333</v>
      </c>
      <c r="B990">
        <v>2290</v>
      </c>
      <c r="C990">
        <v>0.82369999999999999</v>
      </c>
      <c r="D990">
        <v>279.44150000000002</v>
      </c>
      <c r="E990">
        <v>230.61797000000001</v>
      </c>
      <c r="F990">
        <v>0</v>
      </c>
    </row>
    <row r="991" spans="1:6" x14ac:dyDescent="0.3">
      <c r="A991" s="51">
        <v>45990.752199074072</v>
      </c>
      <c r="B991">
        <v>2300</v>
      </c>
      <c r="C991">
        <v>0.82120000000000004</v>
      </c>
      <c r="D991">
        <v>279.06650000000002</v>
      </c>
      <c r="E991">
        <v>229.36799999999999</v>
      </c>
      <c r="F991">
        <v>0</v>
      </c>
    </row>
    <row r="992" spans="1:6" x14ac:dyDescent="0.3">
      <c r="A992" s="51">
        <v>45990.752314814818</v>
      </c>
      <c r="B992">
        <v>2310</v>
      </c>
      <c r="C992">
        <v>1.1336999999999999</v>
      </c>
      <c r="D992">
        <v>0</v>
      </c>
      <c r="E992">
        <v>0</v>
      </c>
      <c r="F992">
        <v>1</v>
      </c>
    </row>
    <row r="993" spans="1:6" x14ac:dyDescent="0.3">
      <c r="A993" s="51">
        <v>45990.752430555556</v>
      </c>
      <c r="B993">
        <v>2320</v>
      </c>
      <c r="C993">
        <v>1.175</v>
      </c>
      <c r="D993">
        <v>0</v>
      </c>
      <c r="E993">
        <v>0</v>
      </c>
      <c r="F993">
        <v>1</v>
      </c>
    </row>
    <row r="994" spans="1:6" x14ac:dyDescent="0.3">
      <c r="A994" s="51">
        <v>45990.752546296295</v>
      </c>
      <c r="B994">
        <v>2330</v>
      </c>
      <c r="C994">
        <v>1.1861999999999999</v>
      </c>
      <c r="D994">
        <v>2.5000000000000001E-2</v>
      </c>
      <c r="E994">
        <v>0</v>
      </c>
      <c r="F994">
        <v>1</v>
      </c>
    </row>
    <row r="995" spans="1:6" x14ac:dyDescent="0.3">
      <c r="A995" s="51">
        <v>45990.752662037034</v>
      </c>
      <c r="B995">
        <v>2340</v>
      </c>
      <c r="C995">
        <v>1.1924999999999999</v>
      </c>
      <c r="D995">
        <v>0</v>
      </c>
      <c r="E995">
        <v>0</v>
      </c>
      <c r="F995">
        <v>1</v>
      </c>
    </row>
    <row r="996" spans="1:6" x14ac:dyDescent="0.3">
      <c r="A996" s="51">
        <v>45990.75277777778</v>
      </c>
      <c r="B996">
        <v>2350</v>
      </c>
      <c r="C996">
        <v>1.1975</v>
      </c>
      <c r="D996">
        <v>0</v>
      </c>
      <c r="E996">
        <v>0</v>
      </c>
      <c r="F996">
        <v>1</v>
      </c>
    </row>
    <row r="997" spans="1:6" x14ac:dyDescent="0.3">
      <c r="A997" s="51">
        <v>45990.752893518518</v>
      </c>
      <c r="B997">
        <v>2360</v>
      </c>
      <c r="C997">
        <v>1.2012</v>
      </c>
      <c r="D997">
        <v>0</v>
      </c>
      <c r="E997">
        <v>0</v>
      </c>
      <c r="F997">
        <v>1</v>
      </c>
    </row>
    <row r="998" spans="1:6" x14ac:dyDescent="0.3">
      <c r="A998" s="51">
        <v>45990.753009259257</v>
      </c>
      <c r="B998">
        <v>2370</v>
      </c>
      <c r="C998">
        <v>0.89249999999999996</v>
      </c>
      <c r="D998">
        <v>302.11579999999998</v>
      </c>
      <c r="E998">
        <v>269.99176</v>
      </c>
      <c r="F998">
        <v>0</v>
      </c>
    </row>
    <row r="999" spans="1:6" x14ac:dyDescent="0.3">
      <c r="A999" s="51">
        <v>45990.753125000003</v>
      </c>
      <c r="B999">
        <v>2380</v>
      </c>
      <c r="C999">
        <v>0.85499999999999998</v>
      </c>
      <c r="D999">
        <v>289.4162</v>
      </c>
      <c r="E999">
        <v>247.49244999999999</v>
      </c>
      <c r="F999">
        <v>0</v>
      </c>
    </row>
    <row r="1000" spans="1:6" x14ac:dyDescent="0.3">
      <c r="A1000" s="51">
        <v>45990.753240740742</v>
      </c>
      <c r="B1000">
        <v>2390</v>
      </c>
      <c r="C1000">
        <v>0.84</v>
      </c>
      <c r="D1000">
        <v>284.96629999999999</v>
      </c>
      <c r="E1000">
        <v>239.36769000000001</v>
      </c>
      <c r="F1000">
        <v>0</v>
      </c>
    </row>
    <row r="1001" spans="1:6" x14ac:dyDescent="0.3">
      <c r="A1001" s="51">
        <v>45990.75335648148</v>
      </c>
      <c r="B1001">
        <v>2400</v>
      </c>
      <c r="C1001">
        <v>0.83379999999999999</v>
      </c>
      <c r="D1001">
        <v>282.66640000000001</v>
      </c>
      <c r="E1001">
        <v>235.61780999999999</v>
      </c>
      <c r="F1001">
        <v>0</v>
      </c>
    </row>
    <row r="1002" spans="1:6" x14ac:dyDescent="0.3">
      <c r="A1002" s="51">
        <v>45990.753483796296</v>
      </c>
      <c r="B1002">
        <v>2410</v>
      </c>
      <c r="C1002">
        <v>0.82869999999999999</v>
      </c>
      <c r="D1002">
        <v>281.19139999999999</v>
      </c>
      <c r="E1002">
        <v>233.74286000000001</v>
      </c>
      <c r="F1002">
        <v>0</v>
      </c>
    </row>
    <row r="1003" spans="1:6" x14ac:dyDescent="0.3">
      <c r="A1003" s="51">
        <v>45990.753599537034</v>
      </c>
      <c r="B1003">
        <v>2420</v>
      </c>
      <c r="C1003">
        <v>0.82499999999999996</v>
      </c>
      <c r="D1003">
        <v>280.06639999999999</v>
      </c>
      <c r="E1003">
        <v>231.24295000000001</v>
      </c>
      <c r="F1003">
        <v>0</v>
      </c>
    </row>
    <row r="1004" spans="1:6" x14ac:dyDescent="0.3">
      <c r="A1004" s="51">
        <v>45990.75371527778</v>
      </c>
      <c r="B1004">
        <v>2430</v>
      </c>
      <c r="C1004">
        <v>0.82250000000000001</v>
      </c>
      <c r="D1004">
        <v>279.16649999999998</v>
      </c>
      <c r="E1004">
        <v>229.36799999999999</v>
      </c>
      <c r="F1004">
        <v>0</v>
      </c>
    </row>
    <row r="1005" spans="1:6" x14ac:dyDescent="0.3">
      <c r="A1005" s="51">
        <v>45990.753831018519</v>
      </c>
      <c r="B1005">
        <v>2440</v>
      </c>
      <c r="C1005">
        <v>0.82</v>
      </c>
      <c r="D1005">
        <v>278.39150000000001</v>
      </c>
      <c r="E1005">
        <v>228.11804000000001</v>
      </c>
      <c r="F1005">
        <v>0</v>
      </c>
    </row>
    <row r="1006" spans="1:6" x14ac:dyDescent="0.3">
      <c r="A1006" s="51">
        <v>45990.753946759258</v>
      </c>
      <c r="B1006">
        <v>2450</v>
      </c>
      <c r="C1006">
        <v>0.81869999999999998</v>
      </c>
      <c r="D1006">
        <v>277.69150000000002</v>
      </c>
      <c r="E1006">
        <v>227.49306000000001</v>
      </c>
      <c r="F1006">
        <v>0</v>
      </c>
    </row>
    <row r="1007" spans="1:6" x14ac:dyDescent="0.3">
      <c r="A1007" s="51">
        <v>45990.754062499997</v>
      </c>
      <c r="B1007">
        <v>2460</v>
      </c>
      <c r="C1007">
        <v>0.8175</v>
      </c>
      <c r="D1007">
        <v>277.04149999999998</v>
      </c>
      <c r="E1007">
        <v>226.2431</v>
      </c>
      <c r="F1007">
        <v>0</v>
      </c>
    </row>
    <row r="1008" spans="1:6" x14ac:dyDescent="0.3">
      <c r="A1008" s="51">
        <v>45990.754178240742</v>
      </c>
      <c r="B1008">
        <v>2470</v>
      </c>
      <c r="C1008">
        <v>0.81499999999999995</v>
      </c>
      <c r="D1008">
        <v>276.44159999999999</v>
      </c>
      <c r="E1008">
        <v>224.99313000000001</v>
      </c>
      <c r="F1008">
        <v>0</v>
      </c>
    </row>
    <row r="1009" spans="1:6" x14ac:dyDescent="0.3">
      <c r="A1009" s="51">
        <v>45990.754293981481</v>
      </c>
      <c r="B1009">
        <v>2480</v>
      </c>
      <c r="C1009">
        <v>0.8125</v>
      </c>
      <c r="D1009">
        <v>275.91660000000002</v>
      </c>
      <c r="E1009">
        <v>224.36815000000001</v>
      </c>
      <c r="F1009">
        <v>0</v>
      </c>
    </row>
    <row r="1010" spans="1:6" x14ac:dyDescent="0.3">
      <c r="A1010" s="51">
        <v>45990.75440972222</v>
      </c>
      <c r="B1010">
        <v>2490</v>
      </c>
      <c r="C1010">
        <v>0.81120000000000003</v>
      </c>
      <c r="D1010">
        <v>275.41660000000002</v>
      </c>
      <c r="E1010">
        <v>223.11819</v>
      </c>
      <c r="F1010">
        <v>0</v>
      </c>
    </row>
    <row r="1011" spans="1:6" x14ac:dyDescent="0.3">
      <c r="A1011" s="51">
        <v>45990.754525462966</v>
      </c>
      <c r="B1011">
        <v>2500</v>
      </c>
      <c r="C1011">
        <v>0.81</v>
      </c>
      <c r="D1011">
        <v>274.91660000000002</v>
      </c>
      <c r="E1011">
        <v>222.49321</v>
      </c>
      <c r="F1011">
        <v>0</v>
      </c>
    </row>
    <row r="1012" spans="1:6" x14ac:dyDescent="0.3">
      <c r="A1012" s="51">
        <v>45990.754641203705</v>
      </c>
      <c r="B1012">
        <v>2510</v>
      </c>
      <c r="C1012">
        <v>0.80869999999999997</v>
      </c>
      <c r="D1012">
        <v>274.44159999999999</v>
      </c>
      <c r="E1012">
        <v>222.49321</v>
      </c>
      <c r="F1012">
        <v>0</v>
      </c>
    </row>
    <row r="1013" spans="1:6" x14ac:dyDescent="0.3">
      <c r="A1013" s="51">
        <v>45990.754756944443</v>
      </c>
      <c r="B1013">
        <v>2520</v>
      </c>
      <c r="C1013">
        <v>0.8075</v>
      </c>
      <c r="D1013">
        <v>273.99160000000001</v>
      </c>
      <c r="E1013">
        <v>221.24325999999999</v>
      </c>
      <c r="F1013">
        <v>0</v>
      </c>
    </row>
    <row r="1014" spans="1:6" x14ac:dyDescent="0.3">
      <c r="A1014" s="51">
        <v>45990.754872685182</v>
      </c>
      <c r="B1014">
        <v>2530</v>
      </c>
      <c r="C1014">
        <v>0.80500000000000005</v>
      </c>
      <c r="D1014">
        <v>273.54169999999999</v>
      </c>
      <c r="E1014">
        <v>219.99329</v>
      </c>
      <c r="F1014">
        <v>0</v>
      </c>
    </row>
    <row r="1015" spans="1:6" x14ac:dyDescent="0.3">
      <c r="A1015" s="51">
        <v>45990.754988425928</v>
      </c>
      <c r="B1015">
        <v>2540</v>
      </c>
      <c r="C1015">
        <v>0.80369999999999997</v>
      </c>
      <c r="D1015">
        <v>273.06670000000003</v>
      </c>
      <c r="E1015">
        <v>219.3683</v>
      </c>
      <c r="F1015">
        <v>0</v>
      </c>
    </row>
    <row r="1016" spans="1:6" x14ac:dyDescent="0.3">
      <c r="A1016" s="51">
        <v>45990.755104166667</v>
      </c>
      <c r="B1016">
        <v>2550</v>
      </c>
      <c r="C1016">
        <v>1.1174999999999999</v>
      </c>
      <c r="D1016">
        <v>0</v>
      </c>
      <c r="E1016">
        <v>0</v>
      </c>
      <c r="F1016">
        <v>1</v>
      </c>
    </row>
    <row r="1017" spans="1:6" x14ac:dyDescent="0.3">
      <c r="A1017" s="51">
        <v>45990.755219907405</v>
      </c>
      <c r="B1017">
        <v>2560</v>
      </c>
      <c r="C1017">
        <v>1.165</v>
      </c>
      <c r="D1017">
        <v>0</v>
      </c>
      <c r="E1017">
        <v>0</v>
      </c>
      <c r="F1017">
        <v>1</v>
      </c>
    </row>
    <row r="1018" spans="1:6" x14ac:dyDescent="0.3">
      <c r="A1018" s="51">
        <v>45990.755335648151</v>
      </c>
      <c r="B1018">
        <v>2570</v>
      </c>
      <c r="C1018">
        <v>1.18</v>
      </c>
      <c r="D1018">
        <v>0</v>
      </c>
      <c r="E1018">
        <v>0</v>
      </c>
      <c r="F1018">
        <v>1</v>
      </c>
    </row>
    <row r="1019" spans="1:6" x14ac:dyDescent="0.3">
      <c r="A1019" s="51">
        <v>45990.75545138889</v>
      </c>
      <c r="B1019">
        <v>2580</v>
      </c>
      <c r="C1019">
        <v>1.1875</v>
      </c>
      <c r="D1019">
        <v>0</v>
      </c>
      <c r="E1019">
        <v>0</v>
      </c>
      <c r="F1019">
        <v>1</v>
      </c>
    </row>
    <row r="1020" spans="1:6" x14ac:dyDescent="0.3">
      <c r="A1020" s="51">
        <v>45990.755567129629</v>
      </c>
      <c r="B1020">
        <v>2590</v>
      </c>
      <c r="C1020">
        <v>1.1912</v>
      </c>
      <c r="D1020">
        <v>2.5000000000000001E-2</v>
      </c>
      <c r="E1020">
        <v>0</v>
      </c>
      <c r="F1020">
        <v>1</v>
      </c>
    </row>
    <row r="1021" spans="1:6" x14ac:dyDescent="0.3">
      <c r="A1021" s="51">
        <v>45990.755682870367</v>
      </c>
      <c r="B1021">
        <v>2600</v>
      </c>
      <c r="C1021">
        <v>1.1950000000000001</v>
      </c>
      <c r="D1021">
        <v>0</v>
      </c>
      <c r="E1021">
        <v>0</v>
      </c>
      <c r="F1021">
        <v>1</v>
      </c>
    </row>
    <row r="1022" spans="1:6" x14ac:dyDescent="0.3">
      <c r="A1022" s="51">
        <v>45990.755798611113</v>
      </c>
      <c r="B1022">
        <v>2610</v>
      </c>
      <c r="C1022">
        <v>0.88249999999999995</v>
      </c>
      <c r="D1022">
        <v>298.79090000000002</v>
      </c>
      <c r="E1022">
        <v>263.74194</v>
      </c>
      <c r="F1022">
        <v>0</v>
      </c>
    </row>
    <row r="1023" spans="1:6" x14ac:dyDescent="0.3">
      <c r="A1023" s="51">
        <v>45990.755914351852</v>
      </c>
      <c r="B1023">
        <v>2620</v>
      </c>
      <c r="C1023">
        <v>0.83879999999999999</v>
      </c>
      <c r="D1023">
        <v>284.54129999999998</v>
      </c>
      <c r="E1023">
        <v>238.74270999999999</v>
      </c>
      <c r="F1023">
        <v>0</v>
      </c>
    </row>
    <row r="1024" spans="1:6" x14ac:dyDescent="0.3">
      <c r="A1024" s="51">
        <v>45990.756030092591</v>
      </c>
      <c r="B1024">
        <v>2630</v>
      </c>
      <c r="C1024">
        <v>0.82369999999999999</v>
      </c>
      <c r="D1024">
        <v>279.2165</v>
      </c>
      <c r="E1024">
        <v>229.99297999999999</v>
      </c>
      <c r="F1024">
        <v>0</v>
      </c>
    </row>
    <row r="1025" spans="1:6" x14ac:dyDescent="0.3">
      <c r="A1025" s="51">
        <v>45990.756145833337</v>
      </c>
      <c r="B1025">
        <v>2640</v>
      </c>
      <c r="C1025">
        <v>0.81499999999999995</v>
      </c>
      <c r="D1025">
        <v>276.49149999999997</v>
      </c>
      <c r="E1025">
        <v>224.99313000000001</v>
      </c>
      <c r="F1025">
        <v>0</v>
      </c>
    </row>
    <row r="1026" spans="1:6" x14ac:dyDescent="0.3">
      <c r="A1026" s="51">
        <v>45990.756261574075</v>
      </c>
      <c r="B1026">
        <v>2650</v>
      </c>
      <c r="C1026">
        <v>0.81</v>
      </c>
      <c r="D1026">
        <v>274.81659999999999</v>
      </c>
      <c r="E1026">
        <v>222.49321</v>
      </c>
      <c r="F1026">
        <v>0</v>
      </c>
    </row>
    <row r="1027" spans="1:6" x14ac:dyDescent="0.3">
      <c r="A1027" s="51">
        <v>45990.756377314814</v>
      </c>
      <c r="B1027">
        <v>2660</v>
      </c>
      <c r="C1027">
        <v>0.80620000000000003</v>
      </c>
      <c r="D1027">
        <v>273.59160000000003</v>
      </c>
      <c r="E1027">
        <v>219.99329</v>
      </c>
      <c r="F1027">
        <v>0</v>
      </c>
    </row>
    <row r="1028" spans="1:6" x14ac:dyDescent="0.3">
      <c r="A1028" s="51">
        <v>45990.756493055553</v>
      </c>
      <c r="B1028">
        <v>2670</v>
      </c>
      <c r="C1028">
        <v>0.80249999999999999</v>
      </c>
      <c r="D1028">
        <v>272.54169999999999</v>
      </c>
      <c r="E1028">
        <v>218.74332000000001</v>
      </c>
      <c r="F1028">
        <v>0</v>
      </c>
    </row>
    <row r="1029" spans="1:6" x14ac:dyDescent="0.3">
      <c r="A1029" s="51">
        <v>45990.756608796299</v>
      </c>
      <c r="B1029">
        <v>2680</v>
      </c>
      <c r="C1029">
        <v>0.80120000000000002</v>
      </c>
      <c r="D1029">
        <v>271.66669999999999</v>
      </c>
      <c r="E1029">
        <v>218.11834999999999</v>
      </c>
      <c r="F1029">
        <v>0</v>
      </c>
    </row>
    <row r="1030" spans="1:6" x14ac:dyDescent="0.3">
      <c r="A1030" s="51">
        <v>45990.756724537037</v>
      </c>
      <c r="B1030">
        <v>2690</v>
      </c>
      <c r="C1030">
        <v>0.8</v>
      </c>
      <c r="D1030">
        <v>270.94170000000003</v>
      </c>
      <c r="E1030">
        <v>216.86838</v>
      </c>
      <c r="F1030">
        <v>0</v>
      </c>
    </row>
    <row r="1031" spans="1:6" x14ac:dyDescent="0.3">
      <c r="A1031" s="51">
        <v>45990.756840277776</v>
      </c>
      <c r="B1031">
        <v>2700</v>
      </c>
      <c r="C1031">
        <v>0.79620000000000002</v>
      </c>
      <c r="D1031">
        <v>270.29169999999999</v>
      </c>
      <c r="E1031">
        <v>214.99343999999999</v>
      </c>
      <c r="F1031">
        <v>0</v>
      </c>
    </row>
    <row r="1032" spans="1:6" x14ac:dyDescent="0.3">
      <c r="A1032" s="51">
        <v>45990.756956018522</v>
      </c>
      <c r="B1032">
        <v>2710</v>
      </c>
      <c r="C1032">
        <v>0.79500000000000004</v>
      </c>
      <c r="D1032">
        <v>269.6918</v>
      </c>
      <c r="E1032">
        <v>213.74347</v>
      </c>
      <c r="F1032">
        <v>0</v>
      </c>
    </row>
    <row r="1033" spans="1:6" x14ac:dyDescent="0.3">
      <c r="A1033" s="51">
        <v>45990.757071759261</v>
      </c>
      <c r="B1033">
        <v>2720</v>
      </c>
      <c r="C1033">
        <v>0.79249999999999998</v>
      </c>
      <c r="D1033">
        <v>269.0668</v>
      </c>
      <c r="E1033">
        <v>213.11850000000001</v>
      </c>
      <c r="F1033">
        <v>0</v>
      </c>
    </row>
    <row r="1034" spans="1:6" x14ac:dyDescent="0.3">
      <c r="A1034" s="51">
        <v>45990.757187499999</v>
      </c>
      <c r="B1034">
        <v>2730</v>
      </c>
      <c r="C1034">
        <v>0.79120000000000001</v>
      </c>
      <c r="D1034">
        <v>268.49180000000001</v>
      </c>
      <c r="E1034">
        <v>211.86852999999999</v>
      </c>
      <c r="F1034">
        <v>0</v>
      </c>
    </row>
    <row r="1035" spans="1:6" x14ac:dyDescent="0.3">
      <c r="A1035" s="51">
        <v>45990.757303240738</v>
      </c>
      <c r="B1035">
        <v>2740</v>
      </c>
      <c r="C1035">
        <v>0.78869999999999996</v>
      </c>
      <c r="D1035">
        <v>267.91680000000002</v>
      </c>
      <c r="E1035">
        <v>211.24356</v>
      </c>
      <c r="F1035">
        <v>0</v>
      </c>
    </row>
    <row r="1036" spans="1:6" x14ac:dyDescent="0.3">
      <c r="A1036" s="51">
        <v>45990.757418981484</v>
      </c>
      <c r="B1036">
        <v>2750</v>
      </c>
      <c r="C1036">
        <v>0.78749999999999998</v>
      </c>
      <c r="D1036">
        <v>267.41680000000002</v>
      </c>
      <c r="E1036">
        <v>211.24356</v>
      </c>
      <c r="F1036">
        <v>0</v>
      </c>
    </row>
    <row r="1037" spans="1:6" x14ac:dyDescent="0.3">
      <c r="A1037" s="51">
        <v>45990.757534722223</v>
      </c>
      <c r="B1037">
        <v>2760</v>
      </c>
      <c r="C1037">
        <v>0.78620000000000001</v>
      </c>
      <c r="D1037">
        <v>266.89179999999999</v>
      </c>
      <c r="E1037">
        <v>209.99359000000001</v>
      </c>
      <c r="F1037">
        <v>0</v>
      </c>
    </row>
    <row r="1038" spans="1:6" x14ac:dyDescent="0.3">
      <c r="A1038" s="51">
        <v>45990.757650462961</v>
      </c>
      <c r="B1038">
        <v>2770</v>
      </c>
      <c r="C1038">
        <v>0.78369999999999995</v>
      </c>
      <c r="D1038">
        <v>266.36689999999999</v>
      </c>
      <c r="E1038">
        <v>208.74361999999999</v>
      </c>
      <c r="F1038">
        <v>0</v>
      </c>
    </row>
    <row r="1039" spans="1:6" x14ac:dyDescent="0.3">
      <c r="A1039" s="51">
        <v>45990.7577662037</v>
      </c>
      <c r="B1039">
        <v>2780</v>
      </c>
      <c r="C1039">
        <v>0.78369999999999995</v>
      </c>
      <c r="D1039">
        <v>265.86689999999999</v>
      </c>
      <c r="E1039">
        <v>208.11865</v>
      </c>
      <c r="F1039">
        <v>0</v>
      </c>
    </row>
    <row r="1040" spans="1:6" x14ac:dyDescent="0.3">
      <c r="A1040" s="51">
        <v>45990.757881944446</v>
      </c>
      <c r="B1040">
        <v>2790</v>
      </c>
      <c r="C1040">
        <v>1.0962000000000001</v>
      </c>
      <c r="D1040">
        <v>2.5000000000000001E-2</v>
      </c>
      <c r="E1040">
        <v>0</v>
      </c>
      <c r="F1040">
        <v>1</v>
      </c>
    </row>
    <row r="1041" spans="1:6" x14ac:dyDescent="0.3">
      <c r="A1041" s="51">
        <v>45990.757997685185</v>
      </c>
      <c r="B1041">
        <v>2800</v>
      </c>
      <c r="C1041">
        <v>1.155</v>
      </c>
      <c r="D1041">
        <v>0</v>
      </c>
      <c r="E1041">
        <v>0</v>
      </c>
      <c r="F1041">
        <v>1</v>
      </c>
    </row>
    <row r="1042" spans="1:6" x14ac:dyDescent="0.3">
      <c r="A1042" s="51">
        <v>45990.758113425924</v>
      </c>
      <c r="B1042">
        <v>2810</v>
      </c>
      <c r="C1042">
        <v>1.1712</v>
      </c>
      <c r="D1042">
        <v>2.5000000000000001E-2</v>
      </c>
      <c r="E1042">
        <v>0</v>
      </c>
      <c r="F1042">
        <v>1</v>
      </c>
    </row>
    <row r="1043" spans="1:6" x14ac:dyDescent="0.3">
      <c r="A1043" s="51">
        <v>45990.758229166669</v>
      </c>
      <c r="B1043">
        <v>2820</v>
      </c>
      <c r="C1043">
        <v>1.18</v>
      </c>
      <c r="D1043">
        <v>0</v>
      </c>
      <c r="E1043">
        <v>0</v>
      </c>
      <c r="F1043">
        <v>1</v>
      </c>
    </row>
    <row r="1044" spans="1:6" x14ac:dyDescent="0.3">
      <c r="A1044" s="51">
        <v>45990.758344907408</v>
      </c>
      <c r="B1044">
        <v>2830</v>
      </c>
      <c r="C1044">
        <v>1.1850000000000001</v>
      </c>
      <c r="D1044">
        <v>0</v>
      </c>
      <c r="E1044">
        <v>0</v>
      </c>
      <c r="F1044">
        <v>1</v>
      </c>
    </row>
    <row r="1045" spans="1:6" x14ac:dyDescent="0.3">
      <c r="A1045" s="51">
        <v>45990.758460648147</v>
      </c>
      <c r="B1045">
        <v>2840</v>
      </c>
      <c r="C1045">
        <v>1.19</v>
      </c>
      <c r="D1045">
        <v>0</v>
      </c>
      <c r="E1045">
        <v>0</v>
      </c>
      <c r="F1045">
        <v>1</v>
      </c>
    </row>
    <row r="1046" spans="1:6" x14ac:dyDescent="0.3">
      <c r="A1046" s="51">
        <v>45990.758576388886</v>
      </c>
      <c r="B1046">
        <v>2850</v>
      </c>
      <c r="C1046">
        <v>0.875</v>
      </c>
      <c r="D1046">
        <v>295.71600000000001</v>
      </c>
      <c r="E1046">
        <v>259.36709999999999</v>
      </c>
      <c r="F1046">
        <v>0</v>
      </c>
    </row>
    <row r="1047" spans="1:6" x14ac:dyDescent="0.3">
      <c r="A1047" s="51">
        <v>45990.758692129632</v>
      </c>
      <c r="B1047">
        <v>2860</v>
      </c>
      <c r="C1047">
        <v>0.82620000000000005</v>
      </c>
      <c r="D1047">
        <v>279.99149999999997</v>
      </c>
      <c r="E1047">
        <v>231.24295000000001</v>
      </c>
      <c r="F1047">
        <v>0</v>
      </c>
    </row>
    <row r="1048" spans="1:6" x14ac:dyDescent="0.3">
      <c r="A1048" s="51">
        <v>45990.75880787037</v>
      </c>
      <c r="B1048">
        <v>2870</v>
      </c>
      <c r="C1048">
        <v>0.80620000000000003</v>
      </c>
      <c r="D1048">
        <v>273.54169999999999</v>
      </c>
      <c r="E1048">
        <v>219.99329</v>
      </c>
      <c r="F1048">
        <v>0</v>
      </c>
    </row>
    <row r="1049" spans="1:6" x14ac:dyDescent="0.3">
      <c r="A1049" s="51">
        <v>45990.758923611109</v>
      </c>
      <c r="B1049">
        <v>2880</v>
      </c>
      <c r="C1049">
        <v>0.79749999999999999</v>
      </c>
      <c r="D1049">
        <v>270.2167</v>
      </c>
      <c r="E1049">
        <v>214.99343999999999</v>
      </c>
      <c r="F1049">
        <v>0</v>
      </c>
    </row>
    <row r="1050" spans="1:6" x14ac:dyDescent="0.3">
      <c r="A1050" s="51">
        <v>45990.759039351855</v>
      </c>
      <c r="B1050">
        <v>2890</v>
      </c>
      <c r="C1050">
        <v>0.79</v>
      </c>
      <c r="D1050">
        <v>268.16680000000002</v>
      </c>
      <c r="E1050">
        <v>211.86852999999999</v>
      </c>
      <c r="F1050">
        <v>0</v>
      </c>
    </row>
    <row r="1051" spans="1:6" x14ac:dyDescent="0.3">
      <c r="A1051" s="51">
        <v>45990.759155092594</v>
      </c>
      <c r="B1051">
        <v>2900</v>
      </c>
      <c r="C1051">
        <v>0.78620000000000001</v>
      </c>
      <c r="D1051">
        <v>266.71690000000001</v>
      </c>
      <c r="E1051">
        <v>209.36860999999999</v>
      </c>
      <c r="F1051">
        <v>0</v>
      </c>
    </row>
    <row r="1052" spans="1:6" x14ac:dyDescent="0.3">
      <c r="A1052" s="51">
        <v>45990.759270833332</v>
      </c>
      <c r="B1052">
        <v>2910</v>
      </c>
      <c r="C1052">
        <v>0.78249999999999997</v>
      </c>
      <c r="D1052">
        <v>265.61689999999999</v>
      </c>
      <c r="E1052">
        <v>208.11865</v>
      </c>
      <c r="F1052">
        <v>0</v>
      </c>
    </row>
    <row r="1053" spans="1:6" x14ac:dyDescent="0.3">
      <c r="A1053" s="51">
        <v>45990.759386574071</v>
      </c>
      <c r="B1053">
        <v>2920</v>
      </c>
      <c r="C1053">
        <v>0.78</v>
      </c>
      <c r="D1053">
        <v>264.76690000000002</v>
      </c>
      <c r="E1053">
        <v>206.86868000000001</v>
      </c>
      <c r="F1053">
        <v>0</v>
      </c>
    </row>
    <row r="1054" spans="1:6" x14ac:dyDescent="0.3">
      <c r="A1054" s="51">
        <v>45990.759502314817</v>
      </c>
      <c r="B1054">
        <v>2930</v>
      </c>
      <c r="C1054">
        <v>0.77880000000000005</v>
      </c>
      <c r="D1054">
        <v>264.0419</v>
      </c>
      <c r="E1054">
        <v>205.61873</v>
      </c>
      <c r="F1054">
        <v>0</v>
      </c>
    </row>
    <row r="1055" spans="1:6" x14ac:dyDescent="0.3">
      <c r="A1055" s="51">
        <v>45990.759618055556</v>
      </c>
      <c r="B1055">
        <v>2940</v>
      </c>
      <c r="C1055">
        <v>0.77629999999999999</v>
      </c>
      <c r="D1055">
        <v>263.41699999999997</v>
      </c>
      <c r="E1055">
        <v>204.36876000000001</v>
      </c>
      <c r="F1055">
        <v>0</v>
      </c>
    </row>
    <row r="1056" spans="1:6" x14ac:dyDescent="0.3">
      <c r="A1056" s="51">
        <v>45990.759733796294</v>
      </c>
      <c r="B1056">
        <v>2950</v>
      </c>
      <c r="C1056">
        <v>0.77380000000000004</v>
      </c>
      <c r="D1056">
        <v>262.767</v>
      </c>
      <c r="E1056">
        <v>203.74377000000001</v>
      </c>
      <c r="F1056">
        <v>0</v>
      </c>
    </row>
    <row r="1057" spans="1:6" x14ac:dyDescent="0.3">
      <c r="A1057" s="51">
        <v>45990.75984953704</v>
      </c>
      <c r="B1057">
        <v>2960</v>
      </c>
      <c r="C1057">
        <v>0.77129999999999999</v>
      </c>
      <c r="D1057">
        <v>262.16699999999997</v>
      </c>
      <c r="E1057">
        <v>201.86884000000001</v>
      </c>
      <c r="F1057">
        <v>0</v>
      </c>
    </row>
    <row r="1058" spans="1:6" x14ac:dyDescent="0.3">
      <c r="A1058" s="51">
        <v>45990.759965277779</v>
      </c>
      <c r="B1058">
        <v>2970</v>
      </c>
      <c r="C1058">
        <v>0.76880000000000004</v>
      </c>
      <c r="D1058">
        <v>261.59199999999998</v>
      </c>
      <c r="E1058">
        <v>201.24386999999999</v>
      </c>
      <c r="F1058">
        <v>0</v>
      </c>
    </row>
    <row r="1059" spans="1:6" x14ac:dyDescent="0.3">
      <c r="A1059" s="51">
        <v>45990.760081018518</v>
      </c>
      <c r="B1059">
        <v>2980</v>
      </c>
      <c r="C1059">
        <v>0.76880000000000004</v>
      </c>
      <c r="D1059">
        <v>261.04199999999997</v>
      </c>
      <c r="E1059">
        <v>200.61887999999999</v>
      </c>
      <c r="F1059">
        <v>0</v>
      </c>
    </row>
    <row r="1060" spans="1:6" x14ac:dyDescent="0.3">
      <c r="A1060" s="51">
        <v>45990.760196759256</v>
      </c>
      <c r="B1060">
        <v>2990</v>
      </c>
      <c r="C1060">
        <v>0.76619999999999999</v>
      </c>
      <c r="D1060">
        <v>260.517</v>
      </c>
      <c r="E1060">
        <v>199.36891</v>
      </c>
      <c r="F1060">
        <v>0</v>
      </c>
    </row>
    <row r="1061" spans="1:6" x14ac:dyDescent="0.3">
      <c r="A1061" s="51">
        <v>45990.760312500002</v>
      </c>
      <c r="B1061">
        <v>3000</v>
      </c>
      <c r="C1061">
        <v>0.76500000000000001</v>
      </c>
      <c r="D1061">
        <v>259.94200000000001</v>
      </c>
      <c r="E1061">
        <v>198.74393000000001</v>
      </c>
      <c r="F1061">
        <v>0</v>
      </c>
    </row>
    <row r="1062" spans="1:6" x14ac:dyDescent="0.3">
      <c r="A1062" s="51">
        <v>45990.760428240741</v>
      </c>
      <c r="B1062">
        <v>3010</v>
      </c>
      <c r="C1062">
        <v>0.76370000000000005</v>
      </c>
      <c r="D1062">
        <v>259.34210000000002</v>
      </c>
      <c r="E1062">
        <v>197.49396999999999</v>
      </c>
      <c r="F1062">
        <v>0</v>
      </c>
    </row>
    <row r="1063" spans="1:6" x14ac:dyDescent="0.3">
      <c r="A1063" s="51">
        <v>45990.76054398148</v>
      </c>
      <c r="B1063">
        <v>3020</v>
      </c>
      <c r="C1063">
        <v>0.76119999999999999</v>
      </c>
      <c r="D1063">
        <v>258.7921</v>
      </c>
      <c r="E1063">
        <v>196.86899</v>
      </c>
      <c r="F1063">
        <v>0</v>
      </c>
    </row>
    <row r="1064" spans="1:6" x14ac:dyDescent="0.3">
      <c r="A1064" s="51">
        <v>45990.760659722226</v>
      </c>
      <c r="B1064">
        <v>3030</v>
      </c>
      <c r="C1064">
        <v>1.0725</v>
      </c>
      <c r="D1064">
        <v>0</v>
      </c>
      <c r="E1064">
        <v>0</v>
      </c>
      <c r="F1064">
        <v>1</v>
      </c>
    </row>
    <row r="1065" spans="1:6" x14ac:dyDescent="0.3">
      <c r="A1065" s="51">
        <v>45990.760775462964</v>
      </c>
      <c r="B1065">
        <v>3040</v>
      </c>
      <c r="C1065">
        <v>1.1399999999999999</v>
      </c>
      <c r="D1065">
        <v>0</v>
      </c>
      <c r="E1065">
        <v>0</v>
      </c>
      <c r="F1065">
        <v>1</v>
      </c>
    </row>
    <row r="1066" spans="1:6" x14ac:dyDescent="0.3">
      <c r="A1066" s="51">
        <v>45990.760891203703</v>
      </c>
      <c r="B1066">
        <v>3050</v>
      </c>
      <c r="C1066">
        <v>1.1612</v>
      </c>
      <c r="D1066">
        <v>0</v>
      </c>
      <c r="E1066">
        <v>0</v>
      </c>
      <c r="F1066">
        <v>1</v>
      </c>
    </row>
    <row r="1067" spans="1:6" x14ac:dyDescent="0.3">
      <c r="A1067" s="51">
        <v>45990.761006944442</v>
      </c>
      <c r="B1067">
        <v>3060</v>
      </c>
      <c r="C1067">
        <v>1.1725000000000001</v>
      </c>
      <c r="D1067">
        <v>0</v>
      </c>
      <c r="E1067">
        <v>0</v>
      </c>
      <c r="F1067">
        <v>1</v>
      </c>
    </row>
    <row r="1068" spans="1:6" x14ac:dyDescent="0.3">
      <c r="A1068" s="51">
        <v>45990.761122685188</v>
      </c>
      <c r="B1068">
        <v>3070</v>
      </c>
      <c r="C1068">
        <v>1.1787000000000001</v>
      </c>
      <c r="D1068">
        <v>0</v>
      </c>
      <c r="E1068">
        <v>0</v>
      </c>
      <c r="F1068">
        <v>1</v>
      </c>
    </row>
    <row r="1069" spans="1:6" x14ac:dyDescent="0.3">
      <c r="A1069" s="51">
        <v>45990.761238425926</v>
      </c>
      <c r="B1069">
        <v>3080</v>
      </c>
      <c r="C1069">
        <v>1.1837</v>
      </c>
      <c r="D1069">
        <v>0</v>
      </c>
      <c r="E1069">
        <v>0</v>
      </c>
      <c r="F1069">
        <v>1</v>
      </c>
    </row>
    <row r="1070" spans="1:6" x14ac:dyDescent="0.3">
      <c r="A1070" s="51">
        <v>45990.761354166665</v>
      </c>
      <c r="B1070">
        <v>3090</v>
      </c>
      <c r="C1070">
        <v>0.86499999999999999</v>
      </c>
      <c r="D1070">
        <v>292.81599999999997</v>
      </c>
      <c r="E1070">
        <v>253.11727999999999</v>
      </c>
      <c r="F1070">
        <v>0</v>
      </c>
    </row>
    <row r="1071" spans="1:6" x14ac:dyDescent="0.3">
      <c r="A1071" s="51">
        <v>45990.761469907404</v>
      </c>
      <c r="B1071">
        <v>3100</v>
      </c>
      <c r="C1071">
        <v>0.81369999999999998</v>
      </c>
      <c r="D1071">
        <v>276.01659999999998</v>
      </c>
      <c r="E1071">
        <v>224.36815000000001</v>
      </c>
      <c r="F1071">
        <v>0</v>
      </c>
    </row>
    <row r="1072" spans="1:6" x14ac:dyDescent="0.3">
      <c r="A1072" s="51">
        <v>45990.76158564815</v>
      </c>
      <c r="B1072">
        <v>3110</v>
      </c>
      <c r="C1072">
        <v>0.79120000000000001</v>
      </c>
      <c r="D1072">
        <v>268.61680000000001</v>
      </c>
      <c r="E1072">
        <v>213.11850000000001</v>
      </c>
      <c r="F1072">
        <v>0</v>
      </c>
    </row>
    <row r="1073" spans="1:6" x14ac:dyDescent="0.3">
      <c r="A1073" s="51">
        <v>45990.761701388888</v>
      </c>
      <c r="B1073">
        <v>3120</v>
      </c>
      <c r="C1073">
        <v>0.77880000000000005</v>
      </c>
      <c r="D1073">
        <v>264.49189999999999</v>
      </c>
      <c r="E1073">
        <v>205.61873</v>
      </c>
      <c r="F1073">
        <v>0</v>
      </c>
    </row>
    <row r="1074" spans="1:6" x14ac:dyDescent="0.3">
      <c r="A1074" s="51">
        <v>45990.761817129627</v>
      </c>
      <c r="B1074">
        <v>3130</v>
      </c>
      <c r="C1074">
        <v>0.77</v>
      </c>
      <c r="D1074">
        <v>261.84199999999998</v>
      </c>
      <c r="E1074">
        <v>201.86884000000001</v>
      </c>
      <c r="F1074">
        <v>0</v>
      </c>
    </row>
    <row r="1075" spans="1:6" x14ac:dyDescent="0.3">
      <c r="A1075" s="51">
        <v>45990.761932870373</v>
      </c>
      <c r="B1075">
        <v>3140</v>
      </c>
      <c r="C1075">
        <v>0.76500000000000001</v>
      </c>
      <c r="D1075">
        <v>260.11709999999999</v>
      </c>
      <c r="E1075">
        <v>198.74393000000001</v>
      </c>
      <c r="F1075">
        <v>0</v>
      </c>
    </row>
    <row r="1076" spans="1:6" x14ac:dyDescent="0.3">
      <c r="A1076" s="51">
        <v>45991.654328703706</v>
      </c>
      <c r="B1076">
        <v>10</v>
      </c>
      <c r="C1076">
        <v>1.2625</v>
      </c>
      <c r="D1076">
        <v>0</v>
      </c>
      <c r="E1076">
        <v>0</v>
      </c>
      <c r="F1076">
        <v>0</v>
      </c>
    </row>
    <row r="1077" spans="1:6" x14ac:dyDescent="0.3">
      <c r="A1077" s="51">
        <v>45991.655486111114</v>
      </c>
      <c r="B1077">
        <v>10</v>
      </c>
      <c r="C1077">
        <v>1.1812</v>
      </c>
      <c r="D1077">
        <v>0.17499999999999999</v>
      </c>
      <c r="E1077">
        <v>0</v>
      </c>
      <c r="F1077">
        <v>0</v>
      </c>
    </row>
    <row r="1078" spans="1:6" x14ac:dyDescent="0.3">
      <c r="A1078" s="51">
        <v>45991.655601851853</v>
      </c>
      <c r="B1078">
        <v>20</v>
      </c>
      <c r="C1078">
        <v>1.1861999999999999</v>
      </c>
      <c r="D1078">
        <v>0.17499999999999999</v>
      </c>
      <c r="E1078">
        <v>0</v>
      </c>
      <c r="F1078">
        <v>0</v>
      </c>
    </row>
    <row r="1079" spans="1:6" x14ac:dyDescent="0.3">
      <c r="A1079" s="51">
        <v>45991.655717592592</v>
      </c>
      <c r="B1079">
        <v>30</v>
      </c>
      <c r="C1079">
        <v>0.93120000000000003</v>
      </c>
      <c r="D1079">
        <v>352.48919999999998</v>
      </c>
      <c r="E1079">
        <v>328.11498999999998</v>
      </c>
      <c r="F1079">
        <v>0</v>
      </c>
    </row>
    <row r="1080" spans="1:6" x14ac:dyDescent="0.3">
      <c r="A1080" s="51">
        <v>45991.655833333331</v>
      </c>
      <c r="B1080">
        <v>40</v>
      </c>
      <c r="C1080">
        <v>0.90629999999999999</v>
      </c>
      <c r="D1080">
        <v>340.68959999999998</v>
      </c>
      <c r="E1080">
        <v>308.74056999999999</v>
      </c>
      <c r="F1080">
        <v>0</v>
      </c>
    </row>
    <row r="1081" spans="1:6" x14ac:dyDescent="0.3">
      <c r="A1081" s="51">
        <v>45991.655949074076</v>
      </c>
      <c r="B1081">
        <v>50</v>
      </c>
      <c r="C1081">
        <v>0.90869999999999995</v>
      </c>
      <c r="D1081">
        <v>337.1397</v>
      </c>
      <c r="E1081">
        <v>306.24065999999999</v>
      </c>
      <c r="F1081">
        <v>0</v>
      </c>
    </row>
    <row r="1082" spans="1:6" x14ac:dyDescent="0.3">
      <c r="A1082" s="51">
        <v>45991.656064814815</v>
      </c>
      <c r="B1082">
        <v>60</v>
      </c>
      <c r="C1082">
        <v>0.90749999999999997</v>
      </c>
      <c r="D1082">
        <v>334.91480000000001</v>
      </c>
      <c r="E1082">
        <v>303.74072000000001</v>
      </c>
      <c r="F1082">
        <v>0</v>
      </c>
    </row>
    <row r="1083" spans="1:6" x14ac:dyDescent="0.3">
      <c r="A1083" s="51">
        <v>45991.656180555554</v>
      </c>
      <c r="B1083">
        <v>70</v>
      </c>
      <c r="C1083">
        <v>0.89749999999999996</v>
      </c>
      <c r="D1083">
        <v>333.18979999999999</v>
      </c>
      <c r="E1083">
        <v>298.74088</v>
      </c>
      <c r="F1083">
        <v>0</v>
      </c>
    </row>
    <row r="1084" spans="1:6" x14ac:dyDescent="0.3">
      <c r="A1084" s="51">
        <v>45991.6562962963</v>
      </c>
      <c r="B1084">
        <v>80</v>
      </c>
      <c r="C1084">
        <v>0.88500000000000001</v>
      </c>
      <c r="D1084">
        <v>331.78989999999999</v>
      </c>
      <c r="E1084">
        <v>293.74103000000002</v>
      </c>
      <c r="F1084">
        <v>0</v>
      </c>
    </row>
    <row r="1085" spans="1:6" x14ac:dyDescent="0.3">
      <c r="A1085" s="51">
        <v>45991.656412037039</v>
      </c>
      <c r="B1085">
        <v>90</v>
      </c>
      <c r="C1085">
        <v>0.88119999999999998</v>
      </c>
      <c r="D1085">
        <v>330.53989999999999</v>
      </c>
      <c r="E1085">
        <v>291.24112000000002</v>
      </c>
      <c r="F1085">
        <v>0</v>
      </c>
    </row>
    <row r="1086" spans="1:6" x14ac:dyDescent="0.3">
      <c r="A1086" s="51">
        <v>45991.656527777777</v>
      </c>
      <c r="B1086">
        <v>100</v>
      </c>
      <c r="C1086">
        <v>0.89</v>
      </c>
      <c r="D1086">
        <v>329.43990000000002</v>
      </c>
      <c r="E1086">
        <v>293.11606</v>
      </c>
      <c r="F1086">
        <v>0</v>
      </c>
    </row>
    <row r="1087" spans="1:6" x14ac:dyDescent="0.3">
      <c r="A1087" s="51">
        <v>45991.656643518516</v>
      </c>
      <c r="B1087">
        <v>110</v>
      </c>
      <c r="C1087">
        <v>0.88500000000000001</v>
      </c>
      <c r="D1087">
        <v>328.41500000000002</v>
      </c>
      <c r="E1087">
        <v>290.61612000000002</v>
      </c>
      <c r="F1087">
        <v>0</v>
      </c>
    </row>
    <row r="1088" spans="1:6" x14ac:dyDescent="0.3">
      <c r="A1088" s="51">
        <v>45991.656759259262</v>
      </c>
      <c r="B1088">
        <v>120</v>
      </c>
      <c r="C1088">
        <v>0.87370000000000003</v>
      </c>
      <c r="D1088">
        <v>327.46499999999997</v>
      </c>
      <c r="E1088">
        <v>286.24126999999999</v>
      </c>
      <c r="F1088">
        <v>0</v>
      </c>
    </row>
    <row r="1089" spans="1:6" x14ac:dyDescent="0.3">
      <c r="A1089" s="51">
        <v>45991.656875000001</v>
      </c>
      <c r="B1089">
        <v>130</v>
      </c>
      <c r="C1089">
        <v>0.875</v>
      </c>
      <c r="D1089">
        <v>326.565</v>
      </c>
      <c r="E1089">
        <v>285.61626999999999</v>
      </c>
      <c r="F1089">
        <v>0</v>
      </c>
    </row>
    <row r="1090" spans="1:6" x14ac:dyDescent="0.3">
      <c r="A1090" s="51">
        <v>45991.656990740739</v>
      </c>
      <c r="B1090">
        <v>140</v>
      </c>
      <c r="C1090">
        <v>0.87619999999999998</v>
      </c>
      <c r="D1090">
        <v>325.66500000000002</v>
      </c>
      <c r="E1090">
        <v>284.99130000000002</v>
      </c>
      <c r="F1090">
        <v>0</v>
      </c>
    </row>
    <row r="1091" spans="1:6" x14ac:dyDescent="0.3">
      <c r="A1091" s="51">
        <v>45991.657106481478</v>
      </c>
      <c r="B1091">
        <v>150</v>
      </c>
      <c r="C1091">
        <v>0.87749999999999995</v>
      </c>
      <c r="D1091">
        <v>324.81509999999997</v>
      </c>
      <c r="E1091">
        <v>284.99130000000002</v>
      </c>
      <c r="F1091">
        <v>0</v>
      </c>
    </row>
    <row r="1092" spans="1:6" x14ac:dyDescent="0.3">
      <c r="A1092" s="51">
        <v>45991.657222222224</v>
      </c>
      <c r="B1092">
        <v>160</v>
      </c>
      <c r="C1092">
        <v>0.87119999999999997</v>
      </c>
      <c r="D1092">
        <v>323.96510000000001</v>
      </c>
      <c r="E1092">
        <v>281.86639000000002</v>
      </c>
      <c r="F1092">
        <v>0</v>
      </c>
    </row>
    <row r="1093" spans="1:6" x14ac:dyDescent="0.3">
      <c r="A1093" s="51">
        <v>45991.657337962963</v>
      </c>
      <c r="B1093">
        <v>170</v>
      </c>
      <c r="C1093">
        <v>0.86870000000000003</v>
      </c>
      <c r="D1093">
        <v>323.14010000000002</v>
      </c>
      <c r="E1093">
        <v>280.61642000000001</v>
      </c>
      <c r="F1093">
        <v>0</v>
      </c>
    </row>
    <row r="1094" spans="1:6" x14ac:dyDescent="0.3">
      <c r="A1094" s="51">
        <v>45991.657453703701</v>
      </c>
      <c r="B1094">
        <v>180</v>
      </c>
      <c r="C1094">
        <v>1.1850000000000001</v>
      </c>
      <c r="D1094">
        <v>0</v>
      </c>
      <c r="E1094">
        <v>0</v>
      </c>
      <c r="F1094">
        <v>1</v>
      </c>
    </row>
    <row r="1095" spans="1:6" x14ac:dyDescent="0.3">
      <c r="A1095" s="51">
        <v>45991.657569444447</v>
      </c>
      <c r="B1095">
        <v>190</v>
      </c>
      <c r="C1095">
        <v>1.2024999999999999</v>
      </c>
      <c r="D1095">
        <v>0</v>
      </c>
      <c r="E1095">
        <v>0</v>
      </c>
      <c r="F1095">
        <v>1</v>
      </c>
    </row>
    <row r="1096" spans="1:6" x14ac:dyDescent="0.3">
      <c r="A1096" s="51">
        <v>45991.657685185186</v>
      </c>
      <c r="B1096">
        <v>200</v>
      </c>
      <c r="C1096">
        <v>1.2138</v>
      </c>
      <c r="D1096">
        <v>0</v>
      </c>
      <c r="E1096">
        <v>0</v>
      </c>
      <c r="F1096">
        <v>1</v>
      </c>
    </row>
    <row r="1097" spans="1:6" x14ac:dyDescent="0.3">
      <c r="A1097" s="51">
        <v>45991.657800925925</v>
      </c>
      <c r="B1097">
        <v>210</v>
      </c>
      <c r="C1097">
        <v>1.2224999999999999</v>
      </c>
      <c r="D1097">
        <v>0</v>
      </c>
      <c r="E1097">
        <v>0</v>
      </c>
      <c r="F1097">
        <v>1</v>
      </c>
    </row>
    <row r="1098" spans="1:6" x14ac:dyDescent="0.3">
      <c r="A1098" s="51">
        <v>45991.657916666663</v>
      </c>
      <c r="B1098">
        <v>220</v>
      </c>
      <c r="C1098">
        <v>1.2262</v>
      </c>
      <c r="D1098">
        <v>0</v>
      </c>
      <c r="E1098">
        <v>0</v>
      </c>
      <c r="F1098">
        <v>1</v>
      </c>
    </row>
    <row r="1099" spans="1:6" x14ac:dyDescent="0.3">
      <c r="A1099" s="51">
        <v>45991.658032407409</v>
      </c>
      <c r="B1099">
        <v>230</v>
      </c>
      <c r="C1099">
        <v>1.23</v>
      </c>
      <c r="D1099">
        <v>0</v>
      </c>
      <c r="E1099">
        <v>0</v>
      </c>
      <c r="F1099">
        <v>1</v>
      </c>
    </row>
    <row r="1100" spans="1:6" x14ac:dyDescent="0.3">
      <c r="A1100" s="51">
        <v>45991.658148148148</v>
      </c>
      <c r="B1100">
        <v>240</v>
      </c>
      <c r="C1100">
        <v>0.95250000000000001</v>
      </c>
      <c r="D1100">
        <v>335.18979999999999</v>
      </c>
      <c r="E1100">
        <v>319.36525999999998</v>
      </c>
      <c r="F1100">
        <v>0</v>
      </c>
    </row>
    <row r="1101" spans="1:6" x14ac:dyDescent="0.3">
      <c r="A1101" s="51">
        <v>45991.658263888887</v>
      </c>
      <c r="B1101">
        <v>250</v>
      </c>
      <c r="C1101">
        <v>0.9375</v>
      </c>
      <c r="D1101">
        <v>328.74</v>
      </c>
      <c r="E1101">
        <v>308.11559999999997</v>
      </c>
      <c r="F1101">
        <v>0</v>
      </c>
    </row>
    <row r="1102" spans="1:6" x14ac:dyDescent="0.3">
      <c r="A1102" s="51">
        <v>45991.658379629633</v>
      </c>
      <c r="B1102">
        <v>260</v>
      </c>
      <c r="C1102">
        <v>0.92869999999999997</v>
      </c>
      <c r="D1102">
        <v>325.76499999999999</v>
      </c>
      <c r="E1102">
        <v>302.49077999999997</v>
      </c>
      <c r="F1102">
        <v>0</v>
      </c>
    </row>
    <row r="1103" spans="1:6" x14ac:dyDescent="0.3">
      <c r="A1103" s="51">
        <v>45991.658495370371</v>
      </c>
      <c r="B1103">
        <v>270</v>
      </c>
      <c r="C1103">
        <v>0.92369999999999997</v>
      </c>
      <c r="D1103">
        <v>323.74009999999998</v>
      </c>
      <c r="E1103">
        <v>298.74088</v>
      </c>
      <c r="F1103">
        <v>0</v>
      </c>
    </row>
    <row r="1104" spans="1:6" x14ac:dyDescent="0.3">
      <c r="A1104" s="51">
        <v>45991.65861111111</v>
      </c>
      <c r="B1104">
        <v>280</v>
      </c>
      <c r="C1104">
        <v>0.91869999999999996</v>
      </c>
      <c r="D1104">
        <v>322.21510000000001</v>
      </c>
      <c r="E1104">
        <v>296.24097</v>
      </c>
      <c r="F1104">
        <v>0</v>
      </c>
    </row>
    <row r="1105" spans="1:6" x14ac:dyDescent="0.3">
      <c r="A1105" s="51">
        <v>45991.658726851849</v>
      </c>
      <c r="B1105">
        <v>290</v>
      </c>
      <c r="C1105">
        <v>0.91369999999999996</v>
      </c>
      <c r="D1105">
        <v>320.99020000000002</v>
      </c>
      <c r="E1105">
        <v>293.11606</v>
      </c>
      <c r="F1105">
        <v>0</v>
      </c>
    </row>
    <row r="1106" spans="1:6" x14ac:dyDescent="0.3">
      <c r="A1106" s="51">
        <v>45991.658842592595</v>
      </c>
      <c r="B1106">
        <v>300</v>
      </c>
      <c r="C1106">
        <v>0.91</v>
      </c>
      <c r="D1106">
        <v>319.9402</v>
      </c>
      <c r="E1106">
        <v>291.24112000000002</v>
      </c>
      <c r="F1106">
        <v>0</v>
      </c>
    </row>
    <row r="1107" spans="1:6" x14ac:dyDescent="0.3">
      <c r="A1107" s="51">
        <v>45991.658958333333</v>
      </c>
      <c r="B1107">
        <v>310</v>
      </c>
      <c r="C1107">
        <v>0.90749999999999997</v>
      </c>
      <c r="D1107">
        <v>319.0403</v>
      </c>
      <c r="E1107">
        <v>289.36617999999999</v>
      </c>
      <c r="F1107">
        <v>0</v>
      </c>
    </row>
    <row r="1108" spans="1:6" x14ac:dyDescent="0.3">
      <c r="A1108" s="51">
        <v>45991.659074074072</v>
      </c>
      <c r="B1108">
        <v>320</v>
      </c>
      <c r="C1108">
        <v>0.90249999999999997</v>
      </c>
      <c r="D1108">
        <v>318.19029999999998</v>
      </c>
      <c r="E1108">
        <v>286.86624</v>
      </c>
      <c r="F1108">
        <v>0</v>
      </c>
    </row>
    <row r="1109" spans="1:6" x14ac:dyDescent="0.3">
      <c r="A1109" s="51">
        <v>45991.659189814818</v>
      </c>
      <c r="B1109">
        <v>330</v>
      </c>
      <c r="C1109">
        <v>0.89880000000000004</v>
      </c>
      <c r="D1109">
        <v>317.44029999999998</v>
      </c>
      <c r="E1109">
        <v>285.61626999999999</v>
      </c>
      <c r="F1109">
        <v>0</v>
      </c>
    </row>
    <row r="1110" spans="1:6" x14ac:dyDescent="0.3">
      <c r="A1110" s="51">
        <v>45991.659305555557</v>
      </c>
      <c r="B1110">
        <v>340</v>
      </c>
      <c r="C1110">
        <v>0.90129999999999999</v>
      </c>
      <c r="D1110">
        <v>316.74029999999999</v>
      </c>
      <c r="E1110">
        <v>284.99130000000002</v>
      </c>
      <c r="F1110">
        <v>0</v>
      </c>
    </row>
    <row r="1111" spans="1:6" x14ac:dyDescent="0.3">
      <c r="A1111" s="51">
        <v>45991.659421296295</v>
      </c>
      <c r="B1111">
        <v>350</v>
      </c>
      <c r="C1111">
        <v>0.89880000000000004</v>
      </c>
      <c r="D1111">
        <v>316.09030000000001</v>
      </c>
      <c r="E1111">
        <v>283.74133</v>
      </c>
      <c r="F1111">
        <v>0</v>
      </c>
    </row>
    <row r="1112" spans="1:6" x14ac:dyDescent="0.3">
      <c r="A1112" s="51">
        <v>45991.659537037034</v>
      </c>
      <c r="B1112">
        <v>360</v>
      </c>
      <c r="C1112">
        <v>0.89629999999999999</v>
      </c>
      <c r="D1112">
        <v>315.49040000000002</v>
      </c>
      <c r="E1112">
        <v>282.49139000000002</v>
      </c>
      <c r="F1112">
        <v>0</v>
      </c>
    </row>
    <row r="1113" spans="1:6" x14ac:dyDescent="0.3">
      <c r="A1113" s="51">
        <v>45991.65965277778</v>
      </c>
      <c r="B1113">
        <v>370</v>
      </c>
      <c r="C1113">
        <v>0.89249999999999996</v>
      </c>
      <c r="D1113">
        <v>314.86540000000002</v>
      </c>
      <c r="E1113">
        <v>281.24142000000001</v>
      </c>
      <c r="F1113">
        <v>0</v>
      </c>
    </row>
    <row r="1114" spans="1:6" x14ac:dyDescent="0.3">
      <c r="A1114" s="51">
        <v>45991.659768518519</v>
      </c>
      <c r="B1114">
        <v>380</v>
      </c>
      <c r="C1114">
        <v>0.89119999999999999</v>
      </c>
      <c r="D1114">
        <v>314.29039999999998</v>
      </c>
      <c r="E1114">
        <v>279.99146000000002</v>
      </c>
      <c r="F1114">
        <v>0</v>
      </c>
    </row>
    <row r="1115" spans="1:6" x14ac:dyDescent="0.3">
      <c r="A1115" s="51">
        <v>45991.659884259258</v>
      </c>
      <c r="B1115">
        <v>390</v>
      </c>
      <c r="C1115">
        <v>0.89</v>
      </c>
      <c r="D1115">
        <v>313.71539999999999</v>
      </c>
      <c r="E1115">
        <v>279.36649</v>
      </c>
      <c r="F1115">
        <v>0</v>
      </c>
    </row>
    <row r="1116" spans="1:6" x14ac:dyDescent="0.3">
      <c r="A1116" s="51">
        <v>45991.66</v>
      </c>
      <c r="B1116">
        <v>400</v>
      </c>
      <c r="C1116">
        <v>0.88749999999999996</v>
      </c>
      <c r="D1116">
        <v>313.16539999999998</v>
      </c>
      <c r="E1116">
        <v>278.11651999999998</v>
      </c>
      <c r="F1116">
        <v>0</v>
      </c>
    </row>
    <row r="1117" spans="1:6" x14ac:dyDescent="0.3">
      <c r="A1117" s="51">
        <v>45991.660115740742</v>
      </c>
      <c r="B1117">
        <v>410</v>
      </c>
      <c r="C1117">
        <v>0.88619999999999999</v>
      </c>
      <c r="D1117">
        <v>312.59050000000002</v>
      </c>
      <c r="E1117">
        <v>276.86655000000002</v>
      </c>
      <c r="F1117">
        <v>0</v>
      </c>
    </row>
    <row r="1118" spans="1:6" x14ac:dyDescent="0.3">
      <c r="A1118" s="51">
        <v>45991.660231481481</v>
      </c>
      <c r="B1118">
        <v>420</v>
      </c>
      <c r="C1118">
        <v>1.1563000000000001</v>
      </c>
      <c r="D1118">
        <v>0</v>
      </c>
      <c r="E1118">
        <v>0</v>
      </c>
      <c r="F1118">
        <v>1</v>
      </c>
    </row>
    <row r="1119" spans="1:6" x14ac:dyDescent="0.3">
      <c r="A1119" s="51">
        <v>45991.66034722222</v>
      </c>
      <c r="B1119">
        <v>430</v>
      </c>
      <c r="C1119">
        <v>1.18</v>
      </c>
      <c r="D1119">
        <v>0</v>
      </c>
      <c r="E1119">
        <v>0</v>
      </c>
      <c r="F1119">
        <v>1</v>
      </c>
    </row>
    <row r="1120" spans="1:6" x14ac:dyDescent="0.3">
      <c r="A1120" s="51">
        <v>45991.660462962966</v>
      </c>
      <c r="B1120">
        <v>440</v>
      </c>
      <c r="C1120">
        <v>1.19</v>
      </c>
      <c r="D1120">
        <v>0</v>
      </c>
      <c r="E1120">
        <v>0</v>
      </c>
      <c r="F1120">
        <v>1</v>
      </c>
    </row>
    <row r="1121" spans="1:6" x14ac:dyDescent="0.3">
      <c r="A1121" s="51">
        <v>45991.660578703704</v>
      </c>
      <c r="B1121">
        <v>450</v>
      </c>
      <c r="C1121">
        <v>1.1961999999999999</v>
      </c>
      <c r="D1121">
        <v>0</v>
      </c>
      <c r="E1121">
        <v>0</v>
      </c>
      <c r="F1121">
        <v>1</v>
      </c>
    </row>
    <row r="1122" spans="1:6" x14ac:dyDescent="0.3">
      <c r="A1122" s="51">
        <v>45991.660694444443</v>
      </c>
      <c r="B1122">
        <v>460</v>
      </c>
      <c r="C1122">
        <v>1.2012</v>
      </c>
      <c r="D1122">
        <v>0</v>
      </c>
      <c r="E1122">
        <v>0</v>
      </c>
      <c r="F1122">
        <v>1</v>
      </c>
    </row>
    <row r="1123" spans="1:6" x14ac:dyDescent="0.3">
      <c r="A1123" s="51">
        <v>45991.660810185182</v>
      </c>
      <c r="B1123">
        <v>470</v>
      </c>
      <c r="C1123">
        <v>1.2</v>
      </c>
      <c r="D1123">
        <v>0</v>
      </c>
      <c r="E1123">
        <v>0</v>
      </c>
      <c r="F1123">
        <v>1</v>
      </c>
    </row>
    <row r="1124" spans="1:6" x14ac:dyDescent="0.3">
      <c r="A1124" s="51">
        <v>45991.660925925928</v>
      </c>
      <c r="B1124">
        <v>480</v>
      </c>
      <c r="C1124">
        <v>0.93120000000000003</v>
      </c>
      <c r="D1124">
        <v>326.49</v>
      </c>
      <c r="E1124">
        <v>303.74072000000001</v>
      </c>
      <c r="F1124">
        <v>0</v>
      </c>
    </row>
    <row r="1125" spans="1:6" x14ac:dyDescent="0.3">
      <c r="A1125" s="51">
        <v>45991.661041666666</v>
      </c>
      <c r="B1125">
        <v>490</v>
      </c>
      <c r="C1125">
        <v>0.91</v>
      </c>
      <c r="D1125">
        <v>319.36520000000002</v>
      </c>
      <c r="E1125">
        <v>290.61612000000002</v>
      </c>
      <c r="F1125">
        <v>0</v>
      </c>
    </row>
    <row r="1126" spans="1:6" x14ac:dyDescent="0.3">
      <c r="A1126" s="51">
        <v>45991.661157407405</v>
      </c>
      <c r="B1126">
        <v>500</v>
      </c>
      <c r="C1126">
        <v>0.9</v>
      </c>
      <c r="D1126">
        <v>316.34030000000001</v>
      </c>
      <c r="E1126">
        <v>284.36633</v>
      </c>
      <c r="F1126">
        <v>0</v>
      </c>
    </row>
    <row r="1127" spans="1:6" x14ac:dyDescent="0.3">
      <c r="A1127" s="51">
        <v>45991.661273148151</v>
      </c>
      <c r="B1127">
        <v>510</v>
      </c>
      <c r="C1127">
        <v>0.89249999999999996</v>
      </c>
      <c r="D1127">
        <v>314.5154</v>
      </c>
      <c r="E1127">
        <v>280.61642000000001</v>
      </c>
      <c r="F1127">
        <v>0</v>
      </c>
    </row>
    <row r="1128" spans="1:6" x14ac:dyDescent="0.3">
      <c r="A1128" s="51">
        <v>45991.66138888889</v>
      </c>
      <c r="B1128">
        <v>520</v>
      </c>
      <c r="C1128">
        <v>0.88870000000000005</v>
      </c>
      <c r="D1128">
        <v>313.11540000000002</v>
      </c>
      <c r="E1128">
        <v>278.11651999999998</v>
      </c>
      <c r="F1128">
        <v>0</v>
      </c>
    </row>
    <row r="1129" spans="1:6" x14ac:dyDescent="0.3">
      <c r="A1129" s="51">
        <v>45991.661504629628</v>
      </c>
      <c r="B1129">
        <v>530</v>
      </c>
      <c r="C1129">
        <v>0.88500000000000001</v>
      </c>
      <c r="D1129">
        <v>311.96550000000002</v>
      </c>
      <c r="E1129">
        <v>275.61658</v>
      </c>
      <c r="F1129">
        <v>0</v>
      </c>
    </row>
    <row r="1130" spans="1:6" x14ac:dyDescent="0.3">
      <c r="A1130" s="51">
        <v>45991.661620370367</v>
      </c>
      <c r="B1130">
        <v>540</v>
      </c>
      <c r="C1130">
        <v>0.88</v>
      </c>
      <c r="D1130">
        <v>310.94049999999999</v>
      </c>
      <c r="E1130">
        <v>273.74164000000002</v>
      </c>
      <c r="F1130">
        <v>0</v>
      </c>
    </row>
    <row r="1131" spans="1:6" x14ac:dyDescent="0.3">
      <c r="A1131" s="51">
        <v>45991.661736111113</v>
      </c>
      <c r="B1131">
        <v>550</v>
      </c>
      <c r="C1131">
        <v>0.88</v>
      </c>
      <c r="D1131">
        <v>309.94049999999999</v>
      </c>
      <c r="E1131">
        <v>272.49169999999998</v>
      </c>
      <c r="F1131">
        <v>0</v>
      </c>
    </row>
    <row r="1132" spans="1:6" x14ac:dyDescent="0.3">
      <c r="A1132" s="51">
        <v>45991.661851851852</v>
      </c>
      <c r="B1132">
        <v>560</v>
      </c>
      <c r="C1132">
        <v>0.87250000000000005</v>
      </c>
      <c r="D1132">
        <v>309.01560000000001</v>
      </c>
      <c r="E1132">
        <v>269.99176</v>
      </c>
      <c r="F1132">
        <v>0</v>
      </c>
    </row>
    <row r="1133" spans="1:6" x14ac:dyDescent="0.3">
      <c r="A1133" s="51">
        <v>45991.66196759259</v>
      </c>
      <c r="B1133">
        <v>570</v>
      </c>
      <c r="C1133">
        <v>0.87370000000000003</v>
      </c>
      <c r="D1133">
        <v>308.09059999999999</v>
      </c>
      <c r="E1133">
        <v>269.36678999999998</v>
      </c>
      <c r="F1133">
        <v>0</v>
      </c>
    </row>
    <row r="1134" spans="1:6" x14ac:dyDescent="0.3">
      <c r="A1134" s="51">
        <v>45991.662083333336</v>
      </c>
      <c r="B1134">
        <v>580</v>
      </c>
      <c r="C1134">
        <v>0.87119999999999997</v>
      </c>
      <c r="D1134">
        <v>307.19060000000002</v>
      </c>
      <c r="E1134">
        <v>267.49182000000002</v>
      </c>
      <c r="F1134">
        <v>0</v>
      </c>
    </row>
    <row r="1135" spans="1:6" x14ac:dyDescent="0.3">
      <c r="A1135" s="51">
        <v>45991.662199074075</v>
      </c>
      <c r="B1135">
        <v>590</v>
      </c>
      <c r="C1135">
        <v>0.86870000000000003</v>
      </c>
      <c r="D1135">
        <v>306.31560000000002</v>
      </c>
      <c r="E1135">
        <v>265.61687999999998</v>
      </c>
      <c r="F1135">
        <v>0</v>
      </c>
    </row>
    <row r="1136" spans="1:6" x14ac:dyDescent="0.3">
      <c r="A1136" s="51">
        <v>45991.662314814814</v>
      </c>
      <c r="B1136">
        <v>600</v>
      </c>
      <c r="C1136">
        <v>0.86619999999999997</v>
      </c>
      <c r="D1136">
        <v>305.44069999999999</v>
      </c>
      <c r="E1136">
        <v>264.36694</v>
      </c>
      <c r="F1136">
        <v>0</v>
      </c>
    </row>
    <row r="1137" spans="1:6" x14ac:dyDescent="0.3">
      <c r="A1137" s="51">
        <v>45991.662430555552</v>
      </c>
      <c r="B1137">
        <v>610</v>
      </c>
      <c r="C1137">
        <v>0.86250000000000004</v>
      </c>
      <c r="D1137">
        <v>304.59070000000003</v>
      </c>
      <c r="E1137">
        <v>262.49200000000002</v>
      </c>
      <c r="F1137">
        <v>0</v>
      </c>
    </row>
    <row r="1138" spans="1:6" x14ac:dyDescent="0.3">
      <c r="A1138" s="51">
        <v>45991.662546296298</v>
      </c>
      <c r="B1138">
        <v>620</v>
      </c>
      <c r="C1138">
        <v>0.85870000000000002</v>
      </c>
      <c r="D1138">
        <v>303.7407</v>
      </c>
      <c r="E1138">
        <v>260.61703</v>
      </c>
      <c r="F1138">
        <v>0</v>
      </c>
    </row>
    <row r="1139" spans="1:6" x14ac:dyDescent="0.3">
      <c r="A1139" s="51">
        <v>45991.662662037037</v>
      </c>
      <c r="B1139">
        <v>630</v>
      </c>
      <c r="C1139">
        <v>0.85619999999999996</v>
      </c>
      <c r="D1139">
        <v>302.89069999999998</v>
      </c>
      <c r="E1139">
        <v>259.36709999999999</v>
      </c>
      <c r="F1139">
        <v>0</v>
      </c>
    </row>
    <row r="1140" spans="1:6" x14ac:dyDescent="0.3">
      <c r="A1140" s="51">
        <v>45991.662777777776</v>
      </c>
      <c r="B1140">
        <v>640</v>
      </c>
      <c r="C1140">
        <v>0.85619999999999996</v>
      </c>
      <c r="D1140">
        <v>302.04079999999999</v>
      </c>
      <c r="E1140">
        <v>258.74209999999999</v>
      </c>
      <c r="F1140">
        <v>0</v>
      </c>
    </row>
    <row r="1141" spans="1:6" x14ac:dyDescent="0.3">
      <c r="A1141" s="51">
        <v>45991.662893518522</v>
      </c>
      <c r="B1141">
        <v>650</v>
      </c>
      <c r="C1141">
        <v>0.85119999999999996</v>
      </c>
      <c r="D1141">
        <v>301.2158</v>
      </c>
      <c r="E1141">
        <v>256.24218999999999</v>
      </c>
      <c r="F1141">
        <v>0</v>
      </c>
    </row>
    <row r="1142" spans="1:6" x14ac:dyDescent="0.3">
      <c r="A1142" s="51">
        <v>45991.66300925926</v>
      </c>
      <c r="B1142">
        <v>660</v>
      </c>
      <c r="C1142">
        <v>1.1375</v>
      </c>
      <c r="D1142">
        <v>0</v>
      </c>
      <c r="E1142">
        <v>0</v>
      </c>
      <c r="F1142">
        <v>1</v>
      </c>
    </row>
    <row r="1143" spans="1:6" x14ac:dyDescent="0.3">
      <c r="A1143" s="51">
        <v>45991.663124999999</v>
      </c>
      <c r="B1143">
        <v>670</v>
      </c>
      <c r="C1143">
        <v>1.1587000000000001</v>
      </c>
      <c r="D1143">
        <v>0</v>
      </c>
      <c r="E1143">
        <v>0</v>
      </c>
      <c r="F1143">
        <v>1</v>
      </c>
    </row>
    <row r="1144" spans="1:6" x14ac:dyDescent="0.3">
      <c r="A1144" s="51">
        <v>45991.663240740738</v>
      </c>
      <c r="B1144">
        <v>680</v>
      </c>
      <c r="C1144">
        <v>1.1712</v>
      </c>
      <c r="D1144">
        <v>0</v>
      </c>
      <c r="E1144">
        <v>0</v>
      </c>
      <c r="F1144">
        <v>1</v>
      </c>
    </row>
    <row r="1145" spans="1:6" x14ac:dyDescent="0.3">
      <c r="A1145" s="51">
        <v>45991.663356481484</v>
      </c>
      <c r="B1145">
        <v>690</v>
      </c>
      <c r="C1145">
        <v>1.18</v>
      </c>
      <c r="D1145">
        <v>0</v>
      </c>
      <c r="E1145">
        <v>0</v>
      </c>
      <c r="F1145">
        <v>1</v>
      </c>
    </row>
    <row r="1146" spans="1:6" x14ac:dyDescent="0.3">
      <c r="A1146" s="51">
        <v>45991.663472222222</v>
      </c>
      <c r="B1146">
        <v>700</v>
      </c>
      <c r="C1146">
        <v>1.1825000000000001</v>
      </c>
      <c r="D1146">
        <v>0</v>
      </c>
      <c r="E1146">
        <v>0</v>
      </c>
      <c r="F1146">
        <v>1</v>
      </c>
    </row>
    <row r="1147" spans="1:6" x14ac:dyDescent="0.3">
      <c r="A1147" s="51">
        <v>45991.663587962961</v>
      </c>
      <c r="B1147">
        <v>710</v>
      </c>
      <c r="C1147">
        <v>1.1875</v>
      </c>
      <c r="D1147">
        <v>0</v>
      </c>
      <c r="E1147">
        <v>0</v>
      </c>
      <c r="F1147">
        <v>1</v>
      </c>
    </row>
    <row r="1148" spans="1:6" x14ac:dyDescent="0.3">
      <c r="A1148" s="51">
        <v>45991.663703703707</v>
      </c>
      <c r="B1148">
        <v>720</v>
      </c>
      <c r="C1148">
        <v>0.90380000000000005</v>
      </c>
      <c r="D1148">
        <v>317.69029999999998</v>
      </c>
      <c r="E1148">
        <v>286.86624</v>
      </c>
      <c r="F1148">
        <v>0</v>
      </c>
    </row>
    <row r="1149" spans="1:6" x14ac:dyDescent="0.3">
      <c r="A1149" s="51">
        <v>45991.663819444446</v>
      </c>
      <c r="B1149">
        <v>730</v>
      </c>
      <c r="C1149">
        <v>0.87619999999999998</v>
      </c>
      <c r="D1149">
        <v>308.46559999999999</v>
      </c>
      <c r="E1149">
        <v>270.61673000000002</v>
      </c>
      <c r="F1149">
        <v>0</v>
      </c>
    </row>
    <row r="1150" spans="1:6" x14ac:dyDescent="0.3">
      <c r="A1150" s="51">
        <v>45991.663935185185</v>
      </c>
      <c r="B1150">
        <v>740</v>
      </c>
      <c r="C1150">
        <v>0.86370000000000002</v>
      </c>
      <c r="D1150">
        <v>304.89069999999998</v>
      </c>
      <c r="E1150">
        <v>263.11696999999998</v>
      </c>
      <c r="F1150">
        <v>0</v>
      </c>
    </row>
    <row r="1151" spans="1:6" x14ac:dyDescent="0.3">
      <c r="A1151" s="51">
        <v>45991.664050925923</v>
      </c>
      <c r="B1151">
        <v>750</v>
      </c>
      <c r="C1151">
        <v>0.86</v>
      </c>
      <c r="D1151">
        <v>302.76569999999998</v>
      </c>
      <c r="E1151">
        <v>259.99207000000001</v>
      </c>
      <c r="F1151">
        <v>0</v>
      </c>
    </row>
    <row r="1152" spans="1:6" x14ac:dyDescent="0.3">
      <c r="A1152" s="51">
        <v>45991.664166666669</v>
      </c>
      <c r="B1152">
        <v>760</v>
      </c>
      <c r="C1152">
        <v>0.85119999999999996</v>
      </c>
      <c r="D1152">
        <v>301.16579999999999</v>
      </c>
      <c r="E1152">
        <v>256.24218999999999</v>
      </c>
      <c r="F1152">
        <v>0</v>
      </c>
    </row>
    <row r="1153" spans="1:6" x14ac:dyDescent="0.3">
      <c r="A1153" s="51">
        <v>45991.664282407408</v>
      </c>
      <c r="B1153">
        <v>770</v>
      </c>
      <c r="C1153">
        <v>0.84870000000000001</v>
      </c>
      <c r="D1153">
        <v>299.76580000000001</v>
      </c>
      <c r="E1153">
        <v>254.36723000000001</v>
      </c>
      <c r="F1153">
        <v>0</v>
      </c>
    </row>
    <row r="1154" spans="1:6" x14ac:dyDescent="0.3">
      <c r="A1154" s="51">
        <v>45991.664398148147</v>
      </c>
      <c r="B1154">
        <v>780</v>
      </c>
      <c r="C1154">
        <v>0.84250000000000003</v>
      </c>
      <c r="D1154">
        <v>298.51589999999999</v>
      </c>
      <c r="E1154">
        <v>251.24234000000001</v>
      </c>
      <c r="F1154">
        <v>0</v>
      </c>
    </row>
    <row r="1155" spans="1:6" x14ac:dyDescent="0.3">
      <c r="A1155" s="51">
        <v>45991.664513888885</v>
      </c>
      <c r="B1155">
        <v>790</v>
      </c>
      <c r="C1155">
        <v>0.83879999999999999</v>
      </c>
      <c r="D1155">
        <v>297.3159</v>
      </c>
      <c r="E1155">
        <v>249.36739</v>
      </c>
      <c r="F1155">
        <v>0</v>
      </c>
    </row>
    <row r="1156" spans="1:6" x14ac:dyDescent="0.3">
      <c r="A1156" s="51">
        <v>45991.664629629631</v>
      </c>
      <c r="B1156">
        <v>800</v>
      </c>
      <c r="C1156">
        <v>0.83879999999999999</v>
      </c>
      <c r="D1156">
        <v>296.21589999999998</v>
      </c>
      <c r="E1156">
        <v>248.11743000000001</v>
      </c>
      <c r="F1156">
        <v>0</v>
      </c>
    </row>
    <row r="1157" spans="1:6" x14ac:dyDescent="0.3">
      <c r="A1157" s="51">
        <v>45991.66474537037</v>
      </c>
      <c r="B1157">
        <v>810</v>
      </c>
      <c r="C1157">
        <v>0.83379999999999999</v>
      </c>
      <c r="D1157">
        <v>295.14100000000002</v>
      </c>
      <c r="E1157">
        <v>246.24249</v>
      </c>
      <c r="F1157">
        <v>0</v>
      </c>
    </row>
    <row r="1158" spans="1:6" x14ac:dyDescent="0.3">
      <c r="A1158" s="51">
        <v>45991.664861111109</v>
      </c>
      <c r="B1158">
        <v>820</v>
      </c>
      <c r="C1158">
        <v>0.82869999999999999</v>
      </c>
      <c r="D1158">
        <v>294.09100000000001</v>
      </c>
      <c r="E1158">
        <v>243.74254999999999</v>
      </c>
      <c r="F1158">
        <v>0</v>
      </c>
    </row>
    <row r="1159" spans="1:6" x14ac:dyDescent="0.3">
      <c r="A1159" s="51">
        <v>45991.664976851855</v>
      </c>
      <c r="B1159">
        <v>830</v>
      </c>
      <c r="C1159">
        <v>0.82750000000000001</v>
      </c>
      <c r="D1159">
        <v>293.09100000000001</v>
      </c>
      <c r="E1159">
        <v>242.49260000000001</v>
      </c>
      <c r="F1159">
        <v>0</v>
      </c>
    </row>
    <row r="1160" spans="1:6" x14ac:dyDescent="0.3">
      <c r="A1160" s="51">
        <v>45991.665092592593</v>
      </c>
      <c r="B1160">
        <v>840</v>
      </c>
      <c r="C1160">
        <v>0.82499999999999996</v>
      </c>
      <c r="D1160">
        <v>292.11610000000002</v>
      </c>
      <c r="E1160">
        <v>240.61766</v>
      </c>
      <c r="F1160">
        <v>0</v>
      </c>
    </row>
    <row r="1161" spans="1:6" x14ac:dyDescent="0.3">
      <c r="A1161" s="51">
        <v>45991.665208333332</v>
      </c>
      <c r="B1161">
        <v>850</v>
      </c>
      <c r="C1161">
        <v>0.82250000000000001</v>
      </c>
      <c r="D1161">
        <v>291.16609999999997</v>
      </c>
      <c r="E1161">
        <v>239.36769000000001</v>
      </c>
      <c r="F1161">
        <v>0</v>
      </c>
    </row>
    <row r="1162" spans="1:6" x14ac:dyDescent="0.3">
      <c r="A1162" s="51">
        <v>45991.665324074071</v>
      </c>
      <c r="B1162">
        <v>860</v>
      </c>
      <c r="C1162">
        <v>0.81869999999999998</v>
      </c>
      <c r="D1162">
        <v>290.21609999999998</v>
      </c>
      <c r="E1162">
        <v>237.49275</v>
      </c>
      <c r="F1162">
        <v>0</v>
      </c>
    </row>
    <row r="1163" spans="1:6" x14ac:dyDescent="0.3">
      <c r="A1163" s="51">
        <v>45991.665439814817</v>
      </c>
      <c r="B1163">
        <v>870</v>
      </c>
      <c r="C1163">
        <v>0.81620000000000004</v>
      </c>
      <c r="D1163">
        <v>289.34120000000001</v>
      </c>
      <c r="E1163">
        <v>236.24279999999999</v>
      </c>
      <c r="F1163">
        <v>0</v>
      </c>
    </row>
    <row r="1164" spans="1:6" x14ac:dyDescent="0.3">
      <c r="A1164" s="51">
        <v>45991.665555555555</v>
      </c>
      <c r="B1164">
        <v>880</v>
      </c>
      <c r="C1164">
        <v>0.81369999999999998</v>
      </c>
      <c r="D1164">
        <v>288.44119999999998</v>
      </c>
      <c r="E1164">
        <v>234.36784</v>
      </c>
      <c r="F1164">
        <v>0</v>
      </c>
    </row>
    <row r="1165" spans="1:6" x14ac:dyDescent="0.3">
      <c r="A1165" s="51">
        <v>45991.665671296294</v>
      </c>
      <c r="B1165">
        <v>890</v>
      </c>
      <c r="C1165">
        <v>0.81120000000000003</v>
      </c>
      <c r="D1165">
        <v>287.59120000000001</v>
      </c>
      <c r="E1165">
        <v>233.11788999999999</v>
      </c>
      <c r="F1165">
        <v>0</v>
      </c>
    </row>
    <row r="1166" spans="1:6" x14ac:dyDescent="0.3">
      <c r="A1166" s="51">
        <v>45991.66578703704</v>
      </c>
      <c r="B1166">
        <v>900</v>
      </c>
      <c r="C1166">
        <v>1.115</v>
      </c>
      <c r="D1166">
        <v>0</v>
      </c>
      <c r="E1166">
        <v>0</v>
      </c>
      <c r="F1166">
        <v>1</v>
      </c>
    </row>
    <row r="1167" spans="1:6" x14ac:dyDescent="0.3">
      <c r="A1167" s="51">
        <v>45991.665902777779</v>
      </c>
      <c r="B1167">
        <v>910</v>
      </c>
      <c r="C1167">
        <v>1.1499999999999999</v>
      </c>
      <c r="D1167">
        <v>0</v>
      </c>
      <c r="E1167">
        <v>0</v>
      </c>
      <c r="F1167">
        <v>1</v>
      </c>
    </row>
    <row r="1168" spans="1:6" x14ac:dyDescent="0.3">
      <c r="A1168" s="51">
        <v>45991.666018518517</v>
      </c>
      <c r="B1168">
        <v>920</v>
      </c>
      <c r="C1168">
        <v>1.1587000000000001</v>
      </c>
      <c r="D1168">
        <v>0</v>
      </c>
      <c r="E1168">
        <v>0</v>
      </c>
      <c r="F1168">
        <v>1</v>
      </c>
    </row>
    <row r="1169" spans="1:6" x14ac:dyDescent="0.3">
      <c r="A1169" s="51">
        <v>45991.666134259256</v>
      </c>
      <c r="B1169">
        <v>930</v>
      </c>
      <c r="C1169">
        <v>1.165</v>
      </c>
      <c r="D1169">
        <v>0</v>
      </c>
      <c r="E1169">
        <v>0</v>
      </c>
      <c r="F1169">
        <v>1</v>
      </c>
    </row>
    <row r="1170" spans="1:6" x14ac:dyDescent="0.3">
      <c r="A1170" s="51">
        <v>45991.666250000002</v>
      </c>
      <c r="B1170">
        <v>940</v>
      </c>
      <c r="C1170">
        <v>1.1712</v>
      </c>
      <c r="D1170">
        <v>0</v>
      </c>
      <c r="E1170">
        <v>0</v>
      </c>
      <c r="F1170">
        <v>1</v>
      </c>
    </row>
    <row r="1171" spans="1:6" x14ac:dyDescent="0.3">
      <c r="A1171" s="51">
        <v>45991.666365740741</v>
      </c>
      <c r="B1171">
        <v>950</v>
      </c>
      <c r="C1171">
        <v>1.175</v>
      </c>
      <c r="D1171">
        <v>0</v>
      </c>
      <c r="E1171">
        <v>0</v>
      </c>
      <c r="F1171">
        <v>1</v>
      </c>
    </row>
    <row r="1172" spans="1:6" x14ac:dyDescent="0.3">
      <c r="A1172" s="51">
        <v>45991.666481481479</v>
      </c>
      <c r="B1172">
        <v>960</v>
      </c>
      <c r="C1172">
        <v>0.88119999999999998</v>
      </c>
      <c r="D1172">
        <v>310.8655</v>
      </c>
      <c r="E1172">
        <v>273.74164000000002</v>
      </c>
      <c r="F1172">
        <v>0</v>
      </c>
    </row>
    <row r="1173" spans="1:6" x14ac:dyDescent="0.3">
      <c r="A1173" s="51">
        <v>45991.666597222225</v>
      </c>
      <c r="B1173">
        <v>970</v>
      </c>
      <c r="C1173">
        <v>0.83750000000000002</v>
      </c>
      <c r="D1173">
        <v>297.14089999999999</v>
      </c>
      <c r="E1173">
        <v>248.7424</v>
      </c>
      <c r="F1173">
        <v>0</v>
      </c>
    </row>
    <row r="1174" spans="1:6" x14ac:dyDescent="0.3">
      <c r="A1174" s="51">
        <v>45991.666712962964</v>
      </c>
      <c r="B1174">
        <v>980</v>
      </c>
      <c r="C1174">
        <v>0.82750000000000001</v>
      </c>
      <c r="D1174">
        <v>292.76609999999999</v>
      </c>
      <c r="E1174">
        <v>242.49260000000001</v>
      </c>
      <c r="F1174">
        <v>0</v>
      </c>
    </row>
    <row r="1175" spans="1:6" x14ac:dyDescent="0.3">
      <c r="A1175" s="51">
        <v>45991.666828703703</v>
      </c>
      <c r="B1175">
        <v>990</v>
      </c>
      <c r="C1175">
        <v>0.81869999999999998</v>
      </c>
      <c r="D1175">
        <v>290.31610000000001</v>
      </c>
      <c r="E1175">
        <v>237.49275</v>
      </c>
      <c r="F1175">
        <v>0</v>
      </c>
    </row>
    <row r="1176" spans="1:6" x14ac:dyDescent="0.3">
      <c r="A1176" s="51">
        <v>45991.666944444441</v>
      </c>
      <c r="B1176">
        <v>1000</v>
      </c>
      <c r="C1176">
        <v>0.8125</v>
      </c>
      <c r="D1176">
        <v>288.59120000000001</v>
      </c>
      <c r="E1176">
        <v>234.36784</v>
      </c>
      <c r="F1176">
        <v>0</v>
      </c>
    </row>
    <row r="1177" spans="1:6" x14ac:dyDescent="0.3">
      <c r="A1177" s="51">
        <v>45991.667060185187</v>
      </c>
      <c r="B1177">
        <v>1010</v>
      </c>
      <c r="C1177">
        <v>0.81</v>
      </c>
      <c r="D1177">
        <v>287.21620000000001</v>
      </c>
      <c r="E1177">
        <v>233.11788999999999</v>
      </c>
      <c r="F1177">
        <v>0</v>
      </c>
    </row>
    <row r="1178" spans="1:6" x14ac:dyDescent="0.3">
      <c r="A1178" s="51">
        <v>45991.667175925926</v>
      </c>
      <c r="B1178">
        <v>1020</v>
      </c>
      <c r="C1178">
        <v>0.80369999999999997</v>
      </c>
      <c r="D1178">
        <v>286.04129999999998</v>
      </c>
      <c r="E1178">
        <v>229.99297999999999</v>
      </c>
      <c r="F1178">
        <v>0</v>
      </c>
    </row>
    <row r="1179" spans="1:6" x14ac:dyDescent="0.3">
      <c r="A1179" s="51">
        <v>45991.667291666665</v>
      </c>
      <c r="B1179">
        <v>1030</v>
      </c>
      <c r="C1179">
        <v>0.8</v>
      </c>
      <c r="D1179">
        <v>285.0163</v>
      </c>
      <c r="E1179">
        <v>228.11804000000001</v>
      </c>
      <c r="F1179">
        <v>0</v>
      </c>
    </row>
    <row r="1180" spans="1:6" x14ac:dyDescent="0.3">
      <c r="A1180" s="51">
        <v>45991.667407407411</v>
      </c>
      <c r="B1180">
        <v>1040</v>
      </c>
      <c r="C1180">
        <v>0.80369999999999997</v>
      </c>
      <c r="D1180">
        <v>284.09129999999999</v>
      </c>
      <c r="E1180">
        <v>228.11804000000001</v>
      </c>
      <c r="F1180">
        <v>0</v>
      </c>
    </row>
    <row r="1181" spans="1:6" x14ac:dyDescent="0.3">
      <c r="A1181" s="51">
        <v>45991.667523148149</v>
      </c>
      <c r="B1181">
        <v>1050</v>
      </c>
      <c r="C1181">
        <v>0.79869999999999997</v>
      </c>
      <c r="D1181">
        <v>283.24130000000002</v>
      </c>
      <c r="E1181">
        <v>226.2431</v>
      </c>
      <c r="F1181">
        <v>0</v>
      </c>
    </row>
    <row r="1182" spans="1:6" x14ac:dyDescent="0.3">
      <c r="A1182" s="51">
        <v>45991.667638888888</v>
      </c>
      <c r="B1182">
        <v>1060</v>
      </c>
      <c r="C1182">
        <v>0.79869999999999997</v>
      </c>
      <c r="D1182">
        <v>282.46640000000002</v>
      </c>
      <c r="E1182">
        <v>224.99313000000001</v>
      </c>
      <c r="F1182">
        <v>0</v>
      </c>
    </row>
    <row r="1183" spans="1:6" x14ac:dyDescent="0.3">
      <c r="A1183" s="51">
        <v>45991.667754629627</v>
      </c>
      <c r="B1183">
        <v>1070</v>
      </c>
      <c r="C1183">
        <v>0.79369999999999996</v>
      </c>
      <c r="D1183">
        <v>281.7414</v>
      </c>
      <c r="E1183">
        <v>223.11819</v>
      </c>
      <c r="F1183">
        <v>0</v>
      </c>
    </row>
    <row r="1184" spans="1:6" x14ac:dyDescent="0.3">
      <c r="A1184" s="51">
        <v>45991.667870370373</v>
      </c>
      <c r="B1184">
        <v>1080</v>
      </c>
      <c r="C1184">
        <v>0.79249999999999998</v>
      </c>
      <c r="D1184">
        <v>281.06639999999999</v>
      </c>
      <c r="E1184">
        <v>222.49321</v>
      </c>
      <c r="F1184">
        <v>0</v>
      </c>
    </row>
    <row r="1185" spans="1:6" x14ac:dyDescent="0.3">
      <c r="A1185" s="51">
        <v>45991.667986111112</v>
      </c>
      <c r="B1185">
        <v>1090</v>
      </c>
      <c r="C1185">
        <v>0.79</v>
      </c>
      <c r="D1185">
        <v>280.44139999999999</v>
      </c>
      <c r="E1185">
        <v>221.24325999999999</v>
      </c>
      <c r="F1185">
        <v>0</v>
      </c>
    </row>
    <row r="1186" spans="1:6" x14ac:dyDescent="0.3">
      <c r="A1186" s="51">
        <v>45991.66810185185</v>
      </c>
      <c r="B1186">
        <v>1100</v>
      </c>
      <c r="C1186">
        <v>0.79</v>
      </c>
      <c r="D1186">
        <v>279.79140000000001</v>
      </c>
      <c r="E1186">
        <v>220.61827</v>
      </c>
      <c r="F1186">
        <v>0</v>
      </c>
    </row>
    <row r="1187" spans="1:6" x14ac:dyDescent="0.3">
      <c r="A1187" s="51">
        <v>45991.668217592596</v>
      </c>
      <c r="B1187">
        <v>1110</v>
      </c>
      <c r="C1187">
        <v>0.78620000000000001</v>
      </c>
      <c r="D1187">
        <v>279.2165</v>
      </c>
      <c r="E1187">
        <v>219.3683</v>
      </c>
      <c r="F1187">
        <v>0</v>
      </c>
    </row>
    <row r="1188" spans="1:6" x14ac:dyDescent="0.3">
      <c r="A1188" s="51">
        <v>45991.668333333335</v>
      </c>
      <c r="B1188">
        <v>1120</v>
      </c>
      <c r="C1188">
        <v>0.78500000000000003</v>
      </c>
      <c r="D1188">
        <v>278.66649999999998</v>
      </c>
      <c r="E1188">
        <v>218.74332000000001</v>
      </c>
      <c r="F1188">
        <v>0</v>
      </c>
    </row>
    <row r="1189" spans="1:6" x14ac:dyDescent="0.3">
      <c r="A1189" s="51">
        <v>45991.668449074074</v>
      </c>
      <c r="B1189">
        <v>1130</v>
      </c>
      <c r="C1189">
        <v>0.78129999999999999</v>
      </c>
      <c r="D1189">
        <v>278.0915</v>
      </c>
      <c r="E1189">
        <v>216.86838</v>
      </c>
      <c r="F1189">
        <v>0</v>
      </c>
    </row>
    <row r="1190" spans="1:6" x14ac:dyDescent="0.3">
      <c r="A1190" s="51">
        <v>45991.668564814812</v>
      </c>
      <c r="B1190">
        <v>1140</v>
      </c>
      <c r="C1190">
        <v>1.0925</v>
      </c>
      <c r="D1190">
        <v>0</v>
      </c>
      <c r="E1190">
        <v>0</v>
      </c>
      <c r="F1190">
        <v>1</v>
      </c>
    </row>
    <row r="1191" spans="1:6" x14ac:dyDescent="0.3">
      <c r="A1191" s="51">
        <v>45991.668680555558</v>
      </c>
      <c r="B1191">
        <v>1150</v>
      </c>
      <c r="C1191">
        <v>1.1399999999999999</v>
      </c>
      <c r="D1191">
        <v>0</v>
      </c>
      <c r="E1191">
        <v>0</v>
      </c>
      <c r="F1191">
        <v>1</v>
      </c>
    </row>
    <row r="1192" spans="1:6" x14ac:dyDescent="0.3">
      <c r="A1192" s="51">
        <v>45991.668796296297</v>
      </c>
      <c r="B1192">
        <v>1160</v>
      </c>
      <c r="C1192">
        <v>1.1475</v>
      </c>
      <c r="D1192">
        <v>0</v>
      </c>
      <c r="E1192">
        <v>0</v>
      </c>
      <c r="F1192">
        <v>1</v>
      </c>
    </row>
    <row r="1193" spans="1:6" x14ac:dyDescent="0.3">
      <c r="A1193" s="51">
        <v>45991.668912037036</v>
      </c>
      <c r="B1193">
        <v>1170</v>
      </c>
      <c r="C1193">
        <v>1.1575</v>
      </c>
      <c r="D1193">
        <v>0</v>
      </c>
      <c r="E1193">
        <v>0</v>
      </c>
      <c r="F1193">
        <v>1</v>
      </c>
    </row>
    <row r="1194" spans="1:6" x14ac:dyDescent="0.3">
      <c r="A1194" s="51">
        <v>45991.669027777774</v>
      </c>
      <c r="B1194">
        <v>1180</v>
      </c>
      <c r="C1194">
        <v>1.1612</v>
      </c>
      <c r="D1194">
        <v>0</v>
      </c>
      <c r="E1194">
        <v>0</v>
      </c>
      <c r="F1194">
        <v>1</v>
      </c>
    </row>
    <row r="1195" spans="1:6" x14ac:dyDescent="0.3">
      <c r="A1195" s="51">
        <v>45991.66914351852</v>
      </c>
      <c r="B1195">
        <v>1190</v>
      </c>
      <c r="C1195">
        <v>1.1637</v>
      </c>
      <c r="D1195">
        <v>0</v>
      </c>
      <c r="E1195">
        <v>0</v>
      </c>
      <c r="F1195">
        <v>1</v>
      </c>
    </row>
    <row r="1196" spans="1:6" x14ac:dyDescent="0.3">
      <c r="A1196" s="51">
        <v>45991.669259259259</v>
      </c>
      <c r="B1196">
        <v>1200</v>
      </c>
      <c r="C1196">
        <v>0.87250000000000005</v>
      </c>
      <c r="D1196">
        <v>307.29059999999998</v>
      </c>
      <c r="E1196">
        <v>268.11682000000002</v>
      </c>
      <c r="F1196">
        <v>0</v>
      </c>
    </row>
    <row r="1197" spans="1:6" x14ac:dyDescent="0.3">
      <c r="A1197" s="51">
        <v>45991.669374999998</v>
      </c>
      <c r="B1197">
        <v>1210</v>
      </c>
      <c r="C1197">
        <v>0.82120000000000004</v>
      </c>
      <c r="D1197">
        <v>290.44110000000001</v>
      </c>
      <c r="E1197">
        <v>238.74270999999999</v>
      </c>
      <c r="F1197">
        <v>0</v>
      </c>
    </row>
    <row r="1198" spans="1:6" x14ac:dyDescent="0.3">
      <c r="A1198" s="51">
        <v>45991.669490740744</v>
      </c>
      <c r="B1198">
        <v>1220</v>
      </c>
      <c r="C1198">
        <v>0.80120000000000002</v>
      </c>
      <c r="D1198">
        <v>285.11630000000002</v>
      </c>
      <c r="E1198">
        <v>228.11804000000001</v>
      </c>
      <c r="F1198">
        <v>0</v>
      </c>
    </row>
    <row r="1199" spans="1:6" x14ac:dyDescent="0.3">
      <c r="A1199" s="51">
        <v>45991.669606481482</v>
      </c>
      <c r="B1199">
        <v>1230</v>
      </c>
      <c r="C1199">
        <v>0.79869999999999997</v>
      </c>
      <c r="D1199">
        <v>282.51639999999998</v>
      </c>
      <c r="E1199">
        <v>225.61812</v>
      </c>
      <c r="F1199">
        <v>0</v>
      </c>
    </row>
    <row r="1200" spans="1:6" x14ac:dyDescent="0.3">
      <c r="A1200" s="51">
        <v>45991.669722222221</v>
      </c>
      <c r="B1200">
        <v>1240</v>
      </c>
      <c r="C1200">
        <v>0.79120000000000001</v>
      </c>
      <c r="D1200">
        <v>280.79140000000001</v>
      </c>
      <c r="E1200">
        <v>222.49321</v>
      </c>
      <c r="F1200">
        <v>0</v>
      </c>
    </row>
    <row r="1201" spans="1:6" x14ac:dyDescent="0.3">
      <c r="A1201" s="51">
        <v>45991.66983796296</v>
      </c>
      <c r="B1201">
        <v>1250</v>
      </c>
      <c r="C1201">
        <v>0.78869999999999996</v>
      </c>
      <c r="D1201">
        <v>279.49149999999997</v>
      </c>
      <c r="E1201">
        <v>220.61827</v>
      </c>
      <c r="F1201">
        <v>0</v>
      </c>
    </row>
    <row r="1202" spans="1:6" x14ac:dyDescent="0.3">
      <c r="A1202" s="51">
        <v>45991.669953703706</v>
      </c>
      <c r="B1202">
        <v>1260</v>
      </c>
      <c r="C1202">
        <v>0.78369999999999995</v>
      </c>
      <c r="D1202">
        <v>278.4665</v>
      </c>
      <c r="E1202">
        <v>218.11834999999999</v>
      </c>
      <c r="F1202">
        <v>0</v>
      </c>
    </row>
    <row r="1203" spans="1:6" x14ac:dyDescent="0.3">
      <c r="A1203" s="51">
        <v>45991.670069444444</v>
      </c>
      <c r="B1203">
        <v>1270</v>
      </c>
      <c r="C1203">
        <v>0.78</v>
      </c>
      <c r="D1203">
        <v>277.56650000000002</v>
      </c>
      <c r="E1203">
        <v>216.24341000000001</v>
      </c>
      <c r="F1203">
        <v>0</v>
      </c>
    </row>
    <row r="1204" spans="1:6" x14ac:dyDescent="0.3">
      <c r="A1204" s="51">
        <v>45991.670185185183</v>
      </c>
      <c r="B1204">
        <v>1280</v>
      </c>
      <c r="C1204">
        <v>0.78</v>
      </c>
      <c r="D1204">
        <v>276.81650000000002</v>
      </c>
      <c r="E1204">
        <v>216.24341000000001</v>
      </c>
      <c r="F1204">
        <v>0</v>
      </c>
    </row>
    <row r="1205" spans="1:6" x14ac:dyDescent="0.3">
      <c r="A1205" s="51">
        <v>45991.670300925929</v>
      </c>
      <c r="B1205">
        <v>1290</v>
      </c>
      <c r="C1205">
        <v>0.77749999999999997</v>
      </c>
      <c r="D1205">
        <v>276.09160000000003</v>
      </c>
      <c r="E1205">
        <v>214.36845</v>
      </c>
      <c r="F1205">
        <v>0</v>
      </c>
    </row>
    <row r="1206" spans="1:6" x14ac:dyDescent="0.3">
      <c r="A1206" s="51">
        <v>45991.670416666668</v>
      </c>
      <c r="B1206">
        <v>1300</v>
      </c>
      <c r="C1206">
        <v>0.77380000000000004</v>
      </c>
      <c r="D1206">
        <v>275.44159999999999</v>
      </c>
      <c r="E1206">
        <v>213.11850000000001</v>
      </c>
      <c r="F1206">
        <v>0</v>
      </c>
    </row>
    <row r="1207" spans="1:6" x14ac:dyDescent="0.3">
      <c r="A1207" s="51">
        <v>45991.670532407406</v>
      </c>
      <c r="B1207">
        <v>1310</v>
      </c>
      <c r="C1207">
        <v>0.77249999999999996</v>
      </c>
      <c r="D1207">
        <v>274.84160000000003</v>
      </c>
      <c r="E1207">
        <v>211.86852999999999</v>
      </c>
      <c r="F1207">
        <v>0</v>
      </c>
    </row>
    <row r="1208" spans="1:6" x14ac:dyDescent="0.3">
      <c r="A1208" s="51">
        <v>45991.670648148145</v>
      </c>
      <c r="B1208">
        <v>1320</v>
      </c>
      <c r="C1208">
        <v>0.77</v>
      </c>
      <c r="D1208">
        <v>274.24160000000001</v>
      </c>
      <c r="E1208">
        <v>211.24356</v>
      </c>
      <c r="F1208">
        <v>0</v>
      </c>
    </row>
    <row r="1209" spans="1:6" x14ac:dyDescent="0.3">
      <c r="A1209" s="51">
        <v>45991.670763888891</v>
      </c>
      <c r="B1209">
        <v>1330</v>
      </c>
      <c r="C1209">
        <v>0.76880000000000004</v>
      </c>
      <c r="D1209">
        <v>273.71660000000003</v>
      </c>
      <c r="E1209">
        <v>210.61858000000001</v>
      </c>
      <c r="F1209">
        <v>0</v>
      </c>
    </row>
    <row r="1210" spans="1:6" x14ac:dyDescent="0.3">
      <c r="A1210" s="51">
        <v>45991.67087962963</v>
      </c>
      <c r="B1210">
        <v>1340</v>
      </c>
      <c r="C1210">
        <v>0.76749999999999996</v>
      </c>
      <c r="D1210">
        <v>273.19170000000003</v>
      </c>
      <c r="E1210">
        <v>209.36860999999999</v>
      </c>
      <c r="F1210">
        <v>0</v>
      </c>
    </row>
    <row r="1211" spans="1:6" x14ac:dyDescent="0.3">
      <c r="A1211" s="51">
        <v>45991.670995370368</v>
      </c>
      <c r="B1211">
        <v>1350</v>
      </c>
      <c r="C1211">
        <v>0.76370000000000005</v>
      </c>
      <c r="D1211">
        <v>272.7167</v>
      </c>
      <c r="E1211">
        <v>208.11865</v>
      </c>
      <c r="F1211">
        <v>0</v>
      </c>
    </row>
    <row r="1212" spans="1:6" x14ac:dyDescent="0.3">
      <c r="A1212" s="51">
        <v>45991.671111111114</v>
      </c>
      <c r="B1212">
        <v>1360</v>
      </c>
      <c r="C1212">
        <v>0.76249999999999996</v>
      </c>
      <c r="D1212">
        <v>272.24169999999998</v>
      </c>
      <c r="E1212">
        <v>208.11865</v>
      </c>
      <c r="F1212">
        <v>0</v>
      </c>
    </row>
    <row r="1213" spans="1:6" x14ac:dyDescent="0.3">
      <c r="A1213" s="51">
        <v>45991.671226851853</v>
      </c>
      <c r="B1213">
        <v>1370</v>
      </c>
      <c r="C1213">
        <v>0.76119999999999999</v>
      </c>
      <c r="D1213">
        <v>271.76670000000001</v>
      </c>
      <c r="E1213">
        <v>206.86868000000001</v>
      </c>
      <c r="F1213">
        <v>0</v>
      </c>
    </row>
    <row r="1214" spans="1:6" x14ac:dyDescent="0.3">
      <c r="A1214" s="51">
        <v>45991.671342592592</v>
      </c>
      <c r="B1214">
        <v>1380</v>
      </c>
      <c r="C1214">
        <v>1.0711999999999999</v>
      </c>
      <c r="D1214">
        <v>0</v>
      </c>
      <c r="E1214">
        <v>0</v>
      </c>
      <c r="F1214">
        <v>1</v>
      </c>
    </row>
    <row r="1215" spans="1:6" x14ac:dyDescent="0.3">
      <c r="A1215" s="51">
        <v>45991.671458333331</v>
      </c>
      <c r="B1215">
        <v>1390</v>
      </c>
      <c r="C1215">
        <v>1.1274999999999999</v>
      </c>
      <c r="D1215">
        <v>0</v>
      </c>
      <c r="E1215">
        <v>0</v>
      </c>
      <c r="F1215">
        <v>1</v>
      </c>
    </row>
    <row r="1216" spans="1:6" x14ac:dyDescent="0.3">
      <c r="A1216" s="51">
        <v>45991.671574074076</v>
      </c>
      <c r="B1216">
        <v>1400</v>
      </c>
      <c r="C1216">
        <v>1.1399999999999999</v>
      </c>
      <c r="D1216">
        <v>0</v>
      </c>
      <c r="E1216">
        <v>0</v>
      </c>
      <c r="F1216">
        <v>1</v>
      </c>
    </row>
    <row r="1217" spans="1:6" x14ac:dyDescent="0.3">
      <c r="A1217" s="51">
        <v>45991.671689814815</v>
      </c>
      <c r="B1217">
        <v>1410</v>
      </c>
      <c r="C1217">
        <v>1.1475</v>
      </c>
      <c r="D1217">
        <v>0</v>
      </c>
      <c r="E1217">
        <v>0</v>
      </c>
      <c r="F1217">
        <v>1</v>
      </c>
    </row>
    <row r="1218" spans="1:6" x14ac:dyDescent="0.3">
      <c r="A1218" s="51">
        <v>45991.671805555554</v>
      </c>
      <c r="B1218">
        <v>1420</v>
      </c>
      <c r="C1218">
        <v>1.1525000000000001</v>
      </c>
      <c r="D1218">
        <v>0</v>
      </c>
      <c r="E1218">
        <v>0</v>
      </c>
      <c r="F1218">
        <v>1</v>
      </c>
    </row>
    <row r="1219" spans="1:6" x14ac:dyDescent="0.3">
      <c r="A1219" s="51">
        <v>45991.6719212963</v>
      </c>
      <c r="B1219">
        <v>1430</v>
      </c>
      <c r="C1219">
        <v>1.1575</v>
      </c>
      <c r="D1219">
        <v>0</v>
      </c>
      <c r="E1219">
        <v>0</v>
      </c>
      <c r="F1219">
        <v>1</v>
      </c>
    </row>
    <row r="1220" spans="1:6" x14ac:dyDescent="0.3">
      <c r="A1220" s="51">
        <v>45991.672037037039</v>
      </c>
      <c r="B1220">
        <v>1440</v>
      </c>
      <c r="C1220">
        <v>0.86250000000000004</v>
      </c>
      <c r="D1220">
        <v>304.19069999999999</v>
      </c>
      <c r="E1220">
        <v>261.86700000000002</v>
      </c>
      <c r="F1220">
        <v>0</v>
      </c>
    </row>
    <row r="1221" spans="1:6" x14ac:dyDescent="0.3">
      <c r="A1221" s="51">
        <v>45991.672152777777</v>
      </c>
      <c r="B1221">
        <v>1450</v>
      </c>
      <c r="C1221">
        <v>0.80620000000000003</v>
      </c>
      <c r="D1221">
        <v>286.29129999999998</v>
      </c>
      <c r="E1221">
        <v>230.61797000000001</v>
      </c>
      <c r="F1221">
        <v>0</v>
      </c>
    </row>
    <row r="1222" spans="1:6" x14ac:dyDescent="0.3">
      <c r="A1222" s="51">
        <v>45991.672280092593</v>
      </c>
      <c r="B1222">
        <v>1460</v>
      </c>
      <c r="C1222">
        <v>0.79120000000000001</v>
      </c>
      <c r="D1222">
        <v>280.44139999999999</v>
      </c>
      <c r="E1222">
        <v>221.86823000000001</v>
      </c>
      <c r="F1222">
        <v>0</v>
      </c>
    </row>
    <row r="1223" spans="1:6" x14ac:dyDescent="0.3">
      <c r="A1223" s="51">
        <v>45991.672395833331</v>
      </c>
      <c r="B1223">
        <v>1470</v>
      </c>
      <c r="C1223">
        <v>0.78</v>
      </c>
      <c r="D1223">
        <v>277.56650000000002</v>
      </c>
      <c r="E1223">
        <v>216.24341000000001</v>
      </c>
      <c r="F1223">
        <v>0</v>
      </c>
    </row>
    <row r="1224" spans="1:6" x14ac:dyDescent="0.3">
      <c r="A1224" s="51">
        <v>45991.672511574077</v>
      </c>
      <c r="B1224">
        <v>1480</v>
      </c>
      <c r="C1224">
        <v>0.77629999999999999</v>
      </c>
      <c r="D1224">
        <v>275.66660000000002</v>
      </c>
      <c r="E1224">
        <v>213.74347</v>
      </c>
      <c r="F1224">
        <v>0</v>
      </c>
    </row>
    <row r="1225" spans="1:6" x14ac:dyDescent="0.3">
      <c r="A1225" s="51">
        <v>45991.672627314816</v>
      </c>
      <c r="B1225">
        <v>1490</v>
      </c>
      <c r="C1225">
        <v>0.77129999999999999</v>
      </c>
      <c r="D1225">
        <v>274.24160000000001</v>
      </c>
      <c r="E1225">
        <v>211.86852999999999</v>
      </c>
      <c r="F1225">
        <v>0</v>
      </c>
    </row>
    <row r="1226" spans="1:6" x14ac:dyDescent="0.3">
      <c r="A1226" s="51">
        <v>45991.672743055555</v>
      </c>
      <c r="B1226">
        <v>1500</v>
      </c>
      <c r="C1226">
        <v>0.76749999999999996</v>
      </c>
      <c r="D1226">
        <v>273.04169999999999</v>
      </c>
      <c r="E1226">
        <v>209.36860999999999</v>
      </c>
      <c r="F1226">
        <v>0</v>
      </c>
    </row>
    <row r="1227" spans="1:6" x14ac:dyDescent="0.3">
      <c r="A1227" s="51">
        <v>45991.672858796293</v>
      </c>
      <c r="B1227">
        <v>1510</v>
      </c>
      <c r="C1227">
        <v>0.76249999999999996</v>
      </c>
      <c r="D1227">
        <v>271.99169999999998</v>
      </c>
      <c r="E1227">
        <v>207.49367000000001</v>
      </c>
      <c r="F1227">
        <v>0</v>
      </c>
    </row>
    <row r="1228" spans="1:6" x14ac:dyDescent="0.3">
      <c r="A1228" s="51">
        <v>45991.672974537039</v>
      </c>
      <c r="B1228">
        <v>1520</v>
      </c>
      <c r="C1228">
        <v>0.75870000000000004</v>
      </c>
      <c r="D1228">
        <v>271.0917</v>
      </c>
      <c r="E1228">
        <v>205.61873</v>
      </c>
      <c r="F1228">
        <v>0</v>
      </c>
    </row>
    <row r="1229" spans="1:6" x14ac:dyDescent="0.3">
      <c r="A1229" s="51">
        <v>45991.673090277778</v>
      </c>
      <c r="B1229">
        <v>1530</v>
      </c>
      <c r="C1229">
        <v>0.75619999999999998</v>
      </c>
      <c r="D1229">
        <v>270.31670000000003</v>
      </c>
      <c r="E1229">
        <v>204.36876000000001</v>
      </c>
      <c r="F1229">
        <v>0</v>
      </c>
    </row>
    <row r="1230" spans="1:6" x14ac:dyDescent="0.3">
      <c r="A1230" s="51">
        <v>45991.673206018517</v>
      </c>
      <c r="B1230">
        <v>1540</v>
      </c>
      <c r="C1230">
        <v>0.75749999999999995</v>
      </c>
      <c r="D1230">
        <v>269.64179999999999</v>
      </c>
      <c r="E1230">
        <v>204.36876000000001</v>
      </c>
      <c r="F1230">
        <v>0</v>
      </c>
    </row>
    <row r="1231" spans="1:6" x14ac:dyDescent="0.3">
      <c r="A1231" s="51">
        <v>45991.673321759263</v>
      </c>
      <c r="B1231">
        <v>1550</v>
      </c>
      <c r="C1231">
        <v>0.75619999999999998</v>
      </c>
      <c r="D1231">
        <v>268.99180000000001</v>
      </c>
      <c r="E1231">
        <v>203.11879999999999</v>
      </c>
      <c r="F1231">
        <v>0</v>
      </c>
    </row>
    <row r="1232" spans="1:6" x14ac:dyDescent="0.3">
      <c r="A1232" s="51">
        <v>45991.673437500001</v>
      </c>
      <c r="B1232">
        <v>1560</v>
      </c>
      <c r="C1232">
        <v>0.75249999999999995</v>
      </c>
      <c r="D1232">
        <v>268.39179999999999</v>
      </c>
      <c r="E1232">
        <v>201.86884000000001</v>
      </c>
      <c r="F1232">
        <v>0</v>
      </c>
    </row>
    <row r="1233" spans="1:6" x14ac:dyDescent="0.3">
      <c r="A1233" s="51">
        <v>45991.67355324074</v>
      </c>
      <c r="B1233">
        <v>1570</v>
      </c>
      <c r="C1233">
        <v>0.75119999999999998</v>
      </c>
      <c r="D1233">
        <v>267.86680000000001</v>
      </c>
      <c r="E1233">
        <v>201.24386999999999</v>
      </c>
      <c r="F1233">
        <v>0</v>
      </c>
    </row>
    <row r="1234" spans="1:6" x14ac:dyDescent="0.3">
      <c r="A1234" s="51">
        <v>45991.673668981479</v>
      </c>
      <c r="B1234">
        <v>1580</v>
      </c>
      <c r="C1234">
        <v>0.74870000000000003</v>
      </c>
      <c r="D1234">
        <v>267.34179999999998</v>
      </c>
      <c r="E1234">
        <v>199.9939</v>
      </c>
      <c r="F1234">
        <v>0</v>
      </c>
    </row>
    <row r="1235" spans="1:6" x14ac:dyDescent="0.3">
      <c r="A1235" s="51">
        <v>45991.673784722225</v>
      </c>
      <c r="B1235">
        <v>1590</v>
      </c>
      <c r="C1235">
        <v>0.74750000000000005</v>
      </c>
      <c r="D1235">
        <v>266.79180000000002</v>
      </c>
      <c r="E1235">
        <v>199.36891</v>
      </c>
      <c r="F1235">
        <v>0</v>
      </c>
    </row>
    <row r="1236" spans="1:6" x14ac:dyDescent="0.3">
      <c r="A1236" s="51">
        <v>45991.673900462964</v>
      </c>
      <c r="B1236">
        <v>1600</v>
      </c>
      <c r="C1236">
        <v>0.74619999999999997</v>
      </c>
      <c r="D1236">
        <v>266.24189999999999</v>
      </c>
      <c r="E1236">
        <v>198.74393000000001</v>
      </c>
      <c r="F1236">
        <v>0</v>
      </c>
    </row>
    <row r="1237" spans="1:6" x14ac:dyDescent="0.3">
      <c r="A1237" s="51">
        <v>45991.674016203702</v>
      </c>
      <c r="B1237">
        <v>1610</v>
      </c>
      <c r="C1237">
        <v>0.74370000000000003</v>
      </c>
      <c r="D1237">
        <v>265.69189999999998</v>
      </c>
      <c r="E1237">
        <v>197.49396999999999</v>
      </c>
      <c r="F1237">
        <v>0</v>
      </c>
    </row>
    <row r="1238" spans="1:6" x14ac:dyDescent="0.3">
      <c r="A1238" s="51">
        <v>45991.674131944441</v>
      </c>
      <c r="B1238">
        <v>1620</v>
      </c>
      <c r="C1238">
        <v>1.0511999999999999</v>
      </c>
      <c r="D1238">
        <v>0</v>
      </c>
      <c r="E1238">
        <v>0</v>
      </c>
      <c r="F1238">
        <v>1</v>
      </c>
    </row>
    <row r="1239" spans="1:6" x14ac:dyDescent="0.3">
      <c r="A1239" s="51">
        <v>45991.674247685187</v>
      </c>
      <c r="B1239">
        <v>1630</v>
      </c>
      <c r="C1239">
        <v>1.115</v>
      </c>
      <c r="D1239">
        <v>0</v>
      </c>
      <c r="E1239">
        <v>0</v>
      </c>
      <c r="F1239">
        <v>1</v>
      </c>
    </row>
    <row r="1240" spans="1:6" x14ac:dyDescent="0.3">
      <c r="A1240" s="51">
        <v>45991.674363425926</v>
      </c>
      <c r="B1240">
        <v>1640</v>
      </c>
      <c r="C1240">
        <v>1.1313</v>
      </c>
      <c r="D1240">
        <v>0</v>
      </c>
      <c r="E1240">
        <v>0</v>
      </c>
      <c r="F1240">
        <v>1</v>
      </c>
    </row>
    <row r="1241" spans="1:6" x14ac:dyDescent="0.3">
      <c r="A1241" s="51">
        <v>45991.674479166664</v>
      </c>
      <c r="B1241">
        <v>1650</v>
      </c>
      <c r="C1241">
        <v>1.1413</v>
      </c>
      <c r="D1241">
        <v>0</v>
      </c>
      <c r="E1241">
        <v>0</v>
      </c>
      <c r="F1241">
        <v>1</v>
      </c>
    </row>
    <row r="1242" spans="1:6" x14ac:dyDescent="0.3">
      <c r="A1242" s="51">
        <v>45991.67459490741</v>
      </c>
      <c r="B1242">
        <v>1660</v>
      </c>
      <c r="C1242">
        <v>1.145</v>
      </c>
      <c r="D1242">
        <v>0</v>
      </c>
      <c r="E1242">
        <v>0</v>
      </c>
      <c r="F1242">
        <v>1</v>
      </c>
    </row>
    <row r="1243" spans="1:6" x14ac:dyDescent="0.3">
      <c r="A1243" s="51">
        <v>45991.674710648149</v>
      </c>
      <c r="B1243">
        <v>1670</v>
      </c>
      <c r="C1243">
        <v>1.1499999999999999</v>
      </c>
      <c r="D1243">
        <v>0</v>
      </c>
      <c r="E1243">
        <v>0</v>
      </c>
      <c r="F1243">
        <v>1</v>
      </c>
    </row>
    <row r="1244" spans="1:6" x14ac:dyDescent="0.3">
      <c r="A1244" s="51">
        <v>45991.674826388888</v>
      </c>
      <c r="B1244">
        <v>1680</v>
      </c>
      <c r="C1244">
        <v>0.85499999999999998</v>
      </c>
      <c r="D1244">
        <v>301.14080000000001</v>
      </c>
      <c r="E1244">
        <v>257.49212999999997</v>
      </c>
      <c r="F1244">
        <v>0</v>
      </c>
    </row>
    <row r="1245" spans="1:6" x14ac:dyDescent="0.3">
      <c r="A1245" s="51">
        <v>45991.674942129626</v>
      </c>
      <c r="B1245">
        <v>1690</v>
      </c>
      <c r="C1245">
        <v>0.79749999999999999</v>
      </c>
      <c r="D1245">
        <v>282.01639999999998</v>
      </c>
      <c r="E1245">
        <v>224.99313000000001</v>
      </c>
      <c r="F1245">
        <v>0</v>
      </c>
    </row>
    <row r="1246" spans="1:6" x14ac:dyDescent="0.3">
      <c r="A1246" s="51">
        <v>45991.675057870372</v>
      </c>
      <c r="B1246">
        <v>1700</v>
      </c>
      <c r="C1246">
        <v>0.77629999999999999</v>
      </c>
      <c r="D1246">
        <v>275.69159999999999</v>
      </c>
      <c r="E1246">
        <v>213.74347</v>
      </c>
      <c r="F1246">
        <v>0</v>
      </c>
    </row>
    <row r="1247" spans="1:6" x14ac:dyDescent="0.3">
      <c r="A1247" s="51">
        <v>45991.675173611111</v>
      </c>
      <c r="B1247">
        <v>1710</v>
      </c>
      <c r="C1247">
        <v>0.76370000000000005</v>
      </c>
      <c r="D1247">
        <v>272.39170000000001</v>
      </c>
      <c r="E1247">
        <v>208.11865</v>
      </c>
      <c r="F1247">
        <v>0</v>
      </c>
    </row>
    <row r="1248" spans="1:6" x14ac:dyDescent="0.3">
      <c r="A1248" s="51">
        <v>45991.67528935185</v>
      </c>
      <c r="B1248">
        <v>1720</v>
      </c>
      <c r="C1248">
        <v>0.75619999999999998</v>
      </c>
      <c r="D1248">
        <v>270.0917</v>
      </c>
      <c r="E1248">
        <v>204.36876000000001</v>
      </c>
      <c r="F1248">
        <v>0</v>
      </c>
    </row>
    <row r="1249" spans="1:6" x14ac:dyDescent="0.3">
      <c r="A1249" s="51">
        <v>45991.675405092596</v>
      </c>
      <c r="B1249">
        <v>1730</v>
      </c>
      <c r="C1249">
        <v>0.75249999999999995</v>
      </c>
      <c r="D1249">
        <v>268.29180000000002</v>
      </c>
      <c r="E1249">
        <v>201.86884000000001</v>
      </c>
      <c r="F1249">
        <v>0</v>
      </c>
    </row>
    <row r="1250" spans="1:6" x14ac:dyDescent="0.3">
      <c r="A1250" s="51">
        <v>45991.675520833334</v>
      </c>
      <c r="B1250">
        <v>1740</v>
      </c>
      <c r="C1250">
        <v>0.75</v>
      </c>
      <c r="D1250">
        <v>266.84190000000001</v>
      </c>
      <c r="E1250">
        <v>199.9939</v>
      </c>
      <c r="F1250">
        <v>0</v>
      </c>
    </row>
    <row r="1251" spans="1:6" x14ac:dyDescent="0.3">
      <c r="A1251" s="51">
        <v>45991.675636574073</v>
      </c>
      <c r="B1251">
        <v>1750</v>
      </c>
      <c r="C1251">
        <v>0.745</v>
      </c>
      <c r="D1251">
        <v>265.64190000000002</v>
      </c>
      <c r="E1251">
        <v>198.11895999999999</v>
      </c>
      <c r="F1251">
        <v>0</v>
      </c>
    </row>
    <row r="1252" spans="1:6" x14ac:dyDescent="0.3">
      <c r="A1252" s="51">
        <v>45991.675752314812</v>
      </c>
      <c r="B1252">
        <v>1760</v>
      </c>
      <c r="C1252">
        <v>0.74119999999999997</v>
      </c>
      <c r="D1252">
        <v>264.61689999999999</v>
      </c>
      <c r="E1252">
        <v>196.24402000000001</v>
      </c>
      <c r="F1252">
        <v>0</v>
      </c>
    </row>
    <row r="1253" spans="1:6" x14ac:dyDescent="0.3">
      <c r="A1253" s="51">
        <v>45991.675868055558</v>
      </c>
      <c r="B1253">
        <v>1770</v>
      </c>
      <c r="C1253">
        <v>0.73750000000000004</v>
      </c>
      <c r="D1253">
        <v>263.76690000000002</v>
      </c>
      <c r="E1253">
        <v>194.36905999999999</v>
      </c>
      <c r="F1253">
        <v>0</v>
      </c>
    </row>
    <row r="1254" spans="1:6" x14ac:dyDescent="0.3">
      <c r="A1254" s="51">
        <v>45991.675983796296</v>
      </c>
      <c r="B1254">
        <v>1780</v>
      </c>
      <c r="C1254">
        <v>0.73870000000000002</v>
      </c>
      <c r="D1254">
        <v>262.96690000000001</v>
      </c>
      <c r="E1254">
        <v>193.74408</v>
      </c>
      <c r="F1254">
        <v>0</v>
      </c>
    </row>
    <row r="1255" spans="1:6" x14ac:dyDescent="0.3">
      <c r="A1255" s="51">
        <v>45991.676099537035</v>
      </c>
      <c r="B1255">
        <v>1790</v>
      </c>
      <c r="C1255">
        <v>0.73499999999999999</v>
      </c>
      <c r="D1255">
        <v>262.29199999999997</v>
      </c>
      <c r="E1255">
        <v>193.11911000000001</v>
      </c>
      <c r="F1255">
        <v>0</v>
      </c>
    </row>
    <row r="1256" spans="1:6" x14ac:dyDescent="0.3">
      <c r="A1256" s="51">
        <v>45991.676215277781</v>
      </c>
      <c r="B1256">
        <v>1800</v>
      </c>
      <c r="C1256">
        <v>0.73119999999999996</v>
      </c>
      <c r="D1256">
        <v>261.59199999999998</v>
      </c>
      <c r="E1256">
        <v>191.24417</v>
      </c>
      <c r="F1256">
        <v>0</v>
      </c>
    </row>
    <row r="1257" spans="1:6" x14ac:dyDescent="0.3">
      <c r="A1257" s="51">
        <v>45991.67633101852</v>
      </c>
      <c r="B1257">
        <v>1810</v>
      </c>
      <c r="C1257">
        <v>0.73</v>
      </c>
      <c r="D1257">
        <v>260.96699999999998</v>
      </c>
      <c r="E1257">
        <v>190.61919</v>
      </c>
      <c r="F1257">
        <v>0</v>
      </c>
    </row>
    <row r="1258" spans="1:6" x14ac:dyDescent="0.3">
      <c r="A1258" s="51">
        <v>45991.676446759258</v>
      </c>
      <c r="B1258">
        <v>1820</v>
      </c>
      <c r="C1258">
        <v>0.72750000000000004</v>
      </c>
      <c r="D1258">
        <v>260.2921</v>
      </c>
      <c r="E1258">
        <v>189.36922000000001</v>
      </c>
      <c r="F1258">
        <v>0</v>
      </c>
    </row>
    <row r="1259" spans="1:6" x14ac:dyDescent="0.3">
      <c r="A1259" s="51">
        <v>45991.676562499997</v>
      </c>
      <c r="B1259">
        <v>1830</v>
      </c>
      <c r="C1259">
        <v>0.72619999999999996</v>
      </c>
      <c r="D1259">
        <v>259.6671</v>
      </c>
      <c r="E1259">
        <v>188.11926</v>
      </c>
      <c r="F1259">
        <v>0</v>
      </c>
    </row>
    <row r="1260" spans="1:6" x14ac:dyDescent="0.3">
      <c r="A1260" s="51">
        <v>45991.676678240743</v>
      </c>
      <c r="B1260">
        <v>1840</v>
      </c>
      <c r="C1260">
        <v>0.72250000000000003</v>
      </c>
      <c r="D1260">
        <v>259.0421</v>
      </c>
      <c r="E1260">
        <v>187.49428</v>
      </c>
      <c r="F1260">
        <v>0</v>
      </c>
    </row>
    <row r="1261" spans="1:6" x14ac:dyDescent="0.3">
      <c r="A1261" s="51">
        <v>45991.676793981482</v>
      </c>
      <c r="B1261">
        <v>1850</v>
      </c>
      <c r="C1261">
        <v>0.72119999999999995</v>
      </c>
      <c r="D1261">
        <v>258.4171</v>
      </c>
      <c r="E1261">
        <v>186.24431999999999</v>
      </c>
      <c r="F1261">
        <v>0</v>
      </c>
    </row>
    <row r="1262" spans="1:6" x14ac:dyDescent="0.3">
      <c r="A1262" s="51">
        <v>45991.67690972222</v>
      </c>
      <c r="B1262">
        <v>1860</v>
      </c>
      <c r="C1262">
        <v>1.0237000000000001</v>
      </c>
      <c r="D1262">
        <v>0</v>
      </c>
      <c r="E1262">
        <v>0</v>
      </c>
      <c r="F1262">
        <v>1</v>
      </c>
    </row>
    <row r="1263" spans="1:6" x14ac:dyDescent="0.3">
      <c r="A1263" s="51">
        <v>45991.677025462966</v>
      </c>
      <c r="B1263">
        <v>1870</v>
      </c>
      <c r="C1263">
        <v>1.1012</v>
      </c>
      <c r="D1263">
        <v>0</v>
      </c>
      <c r="E1263">
        <v>0</v>
      </c>
      <c r="F1263">
        <v>1</v>
      </c>
    </row>
    <row r="1264" spans="1:6" x14ac:dyDescent="0.3">
      <c r="A1264" s="51">
        <v>45991.677141203705</v>
      </c>
      <c r="B1264">
        <v>1880</v>
      </c>
      <c r="C1264">
        <v>1.1200000000000001</v>
      </c>
      <c r="D1264">
        <v>0</v>
      </c>
      <c r="E1264">
        <v>0</v>
      </c>
      <c r="F1264">
        <v>1</v>
      </c>
    </row>
    <row r="1265" spans="1:6" x14ac:dyDescent="0.3">
      <c r="A1265" s="51">
        <v>45991.677256944444</v>
      </c>
      <c r="B1265">
        <v>1890</v>
      </c>
      <c r="C1265">
        <v>1.1287</v>
      </c>
      <c r="D1265">
        <v>0</v>
      </c>
      <c r="E1265">
        <v>0</v>
      </c>
      <c r="F1265">
        <v>1</v>
      </c>
    </row>
    <row r="1266" spans="1:6" x14ac:dyDescent="0.3">
      <c r="A1266" s="51">
        <v>45991.677372685182</v>
      </c>
      <c r="B1266">
        <v>1900</v>
      </c>
      <c r="C1266">
        <v>1.1375</v>
      </c>
      <c r="D1266">
        <v>0</v>
      </c>
      <c r="E1266">
        <v>0</v>
      </c>
      <c r="F1266">
        <v>1</v>
      </c>
    </row>
    <row r="1267" spans="1:6" x14ac:dyDescent="0.3">
      <c r="A1267" s="51">
        <v>45991.677488425928</v>
      </c>
      <c r="B1267">
        <v>1910</v>
      </c>
      <c r="C1267">
        <v>1.1387</v>
      </c>
      <c r="D1267">
        <v>0</v>
      </c>
      <c r="E1267">
        <v>0</v>
      </c>
      <c r="F1267">
        <v>1</v>
      </c>
    </row>
    <row r="1268" spans="1:6" x14ac:dyDescent="0.3">
      <c r="A1268" s="51">
        <v>45991.677604166667</v>
      </c>
      <c r="B1268">
        <v>1920</v>
      </c>
      <c r="C1268">
        <v>0.83750000000000002</v>
      </c>
      <c r="D1268">
        <v>296.51589999999999</v>
      </c>
      <c r="E1268">
        <v>248.11743000000001</v>
      </c>
      <c r="F1268">
        <v>0</v>
      </c>
    </row>
    <row r="1269" spans="1:6" x14ac:dyDescent="0.3">
      <c r="A1269" s="51">
        <v>45991.677719907406</v>
      </c>
      <c r="B1269">
        <v>1930</v>
      </c>
      <c r="C1269">
        <v>0.78129999999999999</v>
      </c>
      <c r="D1269">
        <v>276.66649999999998</v>
      </c>
      <c r="E1269">
        <v>214.99343999999999</v>
      </c>
      <c r="F1269">
        <v>0</v>
      </c>
    </row>
    <row r="1270" spans="1:6" x14ac:dyDescent="0.3">
      <c r="A1270" s="51">
        <v>45991.677835648145</v>
      </c>
      <c r="B1270">
        <v>1940</v>
      </c>
      <c r="C1270">
        <v>0.76</v>
      </c>
      <c r="D1270">
        <v>269.59179999999998</v>
      </c>
      <c r="E1270">
        <v>204.99374</v>
      </c>
      <c r="F1270">
        <v>0</v>
      </c>
    </row>
    <row r="1271" spans="1:6" x14ac:dyDescent="0.3">
      <c r="A1271" s="51">
        <v>45991.677951388891</v>
      </c>
      <c r="B1271">
        <v>1950</v>
      </c>
      <c r="C1271">
        <v>0.745</v>
      </c>
      <c r="D1271">
        <v>265.44189999999998</v>
      </c>
      <c r="E1271">
        <v>197.49396999999999</v>
      </c>
      <c r="F1271">
        <v>0</v>
      </c>
    </row>
    <row r="1272" spans="1:6" x14ac:dyDescent="0.3">
      <c r="A1272" s="51">
        <v>45991.678067129629</v>
      </c>
      <c r="B1272">
        <v>1960</v>
      </c>
      <c r="C1272">
        <v>0.73499999999999999</v>
      </c>
      <c r="D1272">
        <v>262.36700000000002</v>
      </c>
      <c r="E1272">
        <v>192.49413000000001</v>
      </c>
      <c r="F1272">
        <v>0</v>
      </c>
    </row>
    <row r="1273" spans="1:6" x14ac:dyDescent="0.3">
      <c r="A1273" s="51">
        <v>45991.678182870368</v>
      </c>
      <c r="B1273">
        <v>1970</v>
      </c>
      <c r="C1273">
        <v>0.72250000000000003</v>
      </c>
      <c r="D1273">
        <v>260.06700000000001</v>
      </c>
      <c r="E1273">
        <v>187.49428</v>
      </c>
      <c r="F1273">
        <v>0</v>
      </c>
    </row>
    <row r="1274" spans="1:6" x14ac:dyDescent="0.3">
      <c r="A1274" s="51">
        <v>45991.678298611114</v>
      </c>
      <c r="B1274">
        <v>1980</v>
      </c>
      <c r="C1274">
        <v>0.71250000000000002</v>
      </c>
      <c r="D1274">
        <v>258.4171</v>
      </c>
      <c r="E1274">
        <v>183.74438000000001</v>
      </c>
      <c r="F1274">
        <v>0</v>
      </c>
    </row>
    <row r="1275" spans="1:6" x14ac:dyDescent="0.3">
      <c r="A1275" s="51">
        <v>45991.678414351853</v>
      </c>
      <c r="B1275">
        <v>1990</v>
      </c>
      <c r="C1275">
        <v>0.71379999999999999</v>
      </c>
      <c r="D1275">
        <v>257.34210000000002</v>
      </c>
      <c r="E1275">
        <v>183.11941999999999</v>
      </c>
      <c r="F1275">
        <v>0</v>
      </c>
    </row>
    <row r="1276" spans="1:6" x14ac:dyDescent="0.3">
      <c r="A1276" s="51">
        <v>45991.678530092591</v>
      </c>
      <c r="B1276">
        <v>2000</v>
      </c>
      <c r="C1276">
        <v>0.71250000000000002</v>
      </c>
      <c r="D1276">
        <v>256.46719999999999</v>
      </c>
      <c r="E1276">
        <v>182.49442999999999</v>
      </c>
      <c r="F1276">
        <v>0</v>
      </c>
    </row>
    <row r="1277" spans="1:6" x14ac:dyDescent="0.3">
      <c r="A1277" s="51">
        <v>45991.67864583333</v>
      </c>
      <c r="B1277">
        <v>2010</v>
      </c>
      <c r="C1277">
        <v>0.70630000000000004</v>
      </c>
      <c r="D1277">
        <v>255.66720000000001</v>
      </c>
      <c r="E1277">
        <v>180.61949000000001</v>
      </c>
      <c r="F1277">
        <v>0</v>
      </c>
    </row>
    <row r="1278" spans="1:6" x14ac:dyDescent="0.3">
      <c r="A1278" s="51">
        <v>45991.678761574076</v>
      </c>
      <c r="B1278">
        <v>2020</v>
      </c>
      <c r="C1278">
        <v>0.70630000000000004</v>
      </c>
      <c r="D1278">
        <v>254.8922</v>
      </c>
      <c r="E1278">
        <v>179.36951999999999</v>
      </c>
      <c r="F1278">
        <v>0</v>
      </c>
    </row>
    <row r="1279" spans="1:6" x14ac:dyDescent="0.3">
      <c r="A1279" s="51">
        <v>45991.678877314815</v>
      </c>
      <c r="B1279">
        <v>2030</v>
      </c>
      <c r="C1279">
        <v>0.70250000000000001</v>
      </c>
      <c r="D1279">
        <v>254.2422</v>
      </c>
      <c r="E1279">
        <v>178.74454</v>
      </c>
      <c r="F1279">
        <v>0</v>
      </c>
    </row>
    <row r="1280" spans="1:6" x14ac:dyDescent="0.3">
      <c r="A1280" s="51">
        <v>45991.678993055553</v>
      </c>
      <c r="B1280">
        <v>2040</v>
      </c>
      <c r="C1280">
        <v>0.70120000000000005</v>
      </c>
      <c r="D1280">
        <v>253.59229999999999</v>
      </c>
      <c r="E1280">
        <v>177.49458000000001</v>
      </c>
      <c r="F1280">
        <v>0</v>
      </c>
    </row>
    <row r="1281" spans="1:6" x14ac:dyDescent="0.3">
      <c r="A1281" s="51">
        <v>45991.679108796299</v>
      </c>
      <c r="B1281">
        <v>2050</v>
      </c>
      <c r="C1281">
        <v>0.69750000000000001</v>
      </c>
      <c r="D1281">
        <v>252.91730000000001</v>
      </c>
      <c r="E1281">
        <v>176.24463</v>
      </c>
      <c r="F1281">
        <v>0</v>
      </c>
    </row>
    <row r="1282" spans="1:6" x14ac:dyDescent="0.3">
      <c r="A1282" s="51">
        <v>45991.679224537038</v>
      </c>
      <c r="B1282">
        <v>2060</v>
      </c>
      <c r="C1282">
        <v>0.69750000000000001</v>
      </c>
      <c r="D1282">
        <v>252.31729999999999</v>
      </c>
      <c r="E1282">
        <v>176.24463</v>
      </c>
      <c r="F1282">
        <v>0</v>
      </c>
    </row>
    <row r="1283" spans="1:6" x14ac:dyDescent="0.3">
      <c r="A1283" s="51">
        <v>45991.679340277777</v>
      </c>
      <c r="B1283">
        <v>2070</v>
      </c>
      <c r="C1283">
        <v>0.69750000000000001</v>
      </c>
      <c r="D1283">
        <v>251.66730000000001</v>
      </c>
      <c r="E1283">
        <v>174.99466000000001</v>
      </c>
      <c r="F1283">
        <v>0</v>
      </c>
    </row>
    <row r="1284" spans="1:6" x14ac:dyDescent="0.3">
      <c r="A1284" s="51">
        <v>45991.679456018515</v>
      </c>
      <c r="B1284">
        <v>2080</v>
      </c>
      <c r="C1284">
        <v>0.69369999999999998</v>
      </c>
      <c r="D1284">
        <v>251.01730000000001</v>
      </c>
      <c r="E1284">
        <v>174.36967000000001</v>
      </c>
      <c r="F1284">
        <v>0</v>
      </c>
    </row>
    <row r="1285" spans="1:6" x14ac:dyDescent="0.3">
      <c r="A1285" s="51">
        <v>45991.679571759261</v>
      </c>
      <c r="B1285">
        <v>2090</v>
      </c>
      <c r="C1285">
        <v>0.6925</v>
      </c>
      <c r="D1285">
        <v>250.3424</v>
      </c>
      <c r="E1285">
        <v>173.74468999999999</v>
      </c>
      <c r="F1285">
        <v>0</v>
      </c>
    </row>
    <row r="1286" spans="1:6" x14ac:dyDescent="0.3">
      <c r="A1286" s="51">
        <v>45991.6796875</v>
      </c>
      <c r="B1286">
        <v>2100</v>
      </c>
      <c r="C1286">
        <v>1.0013000000000001</v>
      </c>
      <c r="D1286">
        <v>0</v>
      </c>
      <c r="E1286">
        <v>0</v>
      </c>
      <c r="F1286">
        <v>1</v>
      </c>
    </row>
    <row r="1287" spans="1:6" x14ac:dyDescent="0.3">
      <c r="A1287" s="51">
        <v>45991.679803240739</v>
      </c>
      <c r="B1287">
        <v>2110</v>
      </c>
      <c r="C1287">
        <v>1.075</v>
      </c>
      <c r="D1287">
        <v>0</v>
      </c>
      <c r="E1287">
        <v>0</v>
      </c>
      <c r="F1287">
        <v>1</v>
      </c>
    </row>
    <row r="1288" spans="1:6" x14ac:dyDescent="0.3">
      <c r="A1288" s="51">
        <v>45991.679918981485</v>
      </c>
      <c r="B1288">
        <v>2120</v>
      </c>
      <c r="C1288">
        <v>1.1000000000000001</v>
      </c>
      <c r="D1288">
        <v>0</v>
      </c>
      <c r="E1288">
        <v>0</v>
      </c>
      <c r="F1288">
        <v>1</v>
      </c>
    </row>
    <row r="1289" spans="1:6" x14ac:dyDescent="0.3">
      <c r="A1289" s="51">
        <v>45991.680034722223</v>
      </c>
      <c r="B1289">
        <v>2130</v>
      </c>
      <c r="C1289">
        <v>1.1162000000000001</v>
      </c>
      <c r="D1289">
        <v>0</v>
      </c>
      <c r="E1289">
        <v>0</v>
      </c>
      <c r="F1289">
        <v>1</v>
      </c>
    </row>
    <row r="1290" spans="1:6" x14ac:dyDescent="0.3">
      <c r="A1290" s="51">
        <v>45991.680150462962</v>
      </c>
      <c r="B1290">
        <v>2140</v>
      </c>
      <c r="C1290">
        <v>1.125</v>
      </c>
      <c r="D1290">
        <v>0</v>
      </c>
      <c r="E1290">
        <v>0</v>
      </c>
      <c r="F1290">
        <v>1</v>
      </c>
    </row>
    <row r="1291" spans="1:6" x14ac:dyDescent="0.3">
      <c r="A1291" s="51">
        <v>45991.680266203701</v>
      </c>
      <c r="B1291">
        <v>2150</v>
      </c>
      <c r="C1291">
        <v>1.1263000000000001</v>
      </c>
      <c r="D1291">
        <v>0</v>
      </c>
      <c r="E1291">
        <v>0</v>
      </c>
      <c r="F1291">
        <v>1</v>
      </c>
    </row>
    <row r="1292" spans="1:6" x14ac:dyDescent="0.3">
      <c r="A1292" s="51">
        <v>45991.680381944447</v>
      </c>
      <c r="B1292">
        <v>2160</v>
      </c>
      <c r="C1292">
        <v>0.82620000000000005</v>
      </c>
      <c r="D1292">
        <v>291.04109999999997</v>
      </c>
      <c r="E1292">
        <v>240.61766</v>
      </c>
      <c r="F1292">
        <v>0</v>
      </c>
    </row>
    <row r="1293" spans="1:6" x14ac:dyDescent="0.3">
      <c r="A1293" s="51">
        <v>45991.680497685185</v>
      </c>
      <c r="B1293">
        <v>2170</v>
      </c>
      <c r="C1293">
        <v>0.76119999999999999</v>
      </c>
      <c r="D1293">
        <v>270.24169999999998</v>
      </c>
      <c r="E1293">
        <v>205.61873</v>
      </c>
      <c r="F1293">
        <v>0</v>
      </c>
    </row>
    <row r="1294" spans="1:6" x14ac:dyDescent="0.3">
      <c r="A1294" s="51">
        <v>45991.680613425924</v>
      </c>
      <c r="B1294">
        <v>2180</v>
      </c>
      <c r="C1294">
        <v>0.73619999999999997</v>
      </c>
      <c r="D1294">
        <v>261.892</v>
      </c>
      <c r="E1294">
        <v>193.11911000000001</v>
      </c>
      <c r="F1294">
        <v>0</v>
      </c>
    </row>
    <row r="1295" spans="1:6" x14ac:dyDescent="0.3">
      <c r="A1295" s="51">
        <v>45991.68072916667</v>
      </c>
      <c r="B1295">
        <v>2190</v>
      </c>
      <c r="C1295">
        <v>0.72250000000000003</v>
      </c>
      <c r="D1295">
        <v>256.61720000000003</v>
      </c>
      <c r="E1295">
        <v>185.61933999999999</v>
      </c>
      <c r="F1295">
        <v>0</v>
      </c>
    </row>
    <row r="1296" spans="1:6" x14ac:dyDescent="0.3">
      <c r="A1296" s="51">
        <v>45991.680844907409</v>
      </c>
      <c r="B1296">
        <v>2200</v>
      </c>
      <c r="C1296">
        <v>0.70879999999999999</v>
      </c>
      <c r="D1296">
        <v>253.04230000000001</v>
      </c>
      <c r="E1296">
        <v>179.36951999999999</v>
      </c>
      <c r="F1296">
        <v>0</v>
      </c>
    </row>
    <row r="1297" spans="1:6" x14ac:dyDescent="0.3">
      <c r="A1297" s="51">
        <v>45991.680960648147</v>
      </c>
      <c r="B1297">
        <v>2210</v>
      </c>
      <c r="C1297">
        <v>0.70250000000000001</v>
      </c>
      <c r="D1297">
        <v>250.96729999999999</v>
      </c>
      <c r="E1297">
        <v>176.24463</v>
      </c>
      <c r="F1297">
        <v>0</v>
      </c>
    </row>
    <row r="1298" spans="1:6" x14ac:dyDescent="0.3">
      <c r="A1298" s="51">
        <v>45991.681076388886</v>
      </c>
      <c r="B1298">
        <v>2220</v>
      </c>
      <c r="C1298">
        <v>0.7</v>
      </c>
      <c r="D1298">
        <v>249.94239999999999</v>
      </c>
      <c r="E1298">
        <v>174.99466000000001</v>
      </c>
      <c r="F1298">
        <v>0</v>
      </c>
    </row>
    <row r="1299" spans="1:6" x14ac:dyDescent="0.3">
      <c r="A1299" s="51">
        <v>45991.681192129632</v>
      </c>
      <c r="B1299">
        <v>2230</v>
      </c>
      <c r="C1299">
        <v>0.69750000000000001</v>
      </c>
      <c r="D1299">
        <v>248.94239999999999</v>
      </c>
      <c r="E1299">
        <v>173.74468999999999</v>
      </c>
      <c r="F1299">
        <v>0</v>
      </c>
    </row>
    <row r="1300" spans="1:6" x14ac:dyDescent="0.3">
      <c r="A1300" s="51">
        <v>45991.681307870371</v>
      </c>
      <c r="B1300">
        <v>2240</v>
      </c>
      <c r="C1300">
        <v>0.69369999999999998</v>
      </c>
      <c r="D1300">
        <v>247.9674</v>
      </c>
      <c r="E1300">
        <v>171.86975000000001</v>
      </c>
      <c r="F1300">
        <v>0</v>
      </c>
    </row>
    <row r="1301" spans="1:6" x14ac:dyDescent="0.3">
      <c r="A1301" s="51">
        <v>45991.681423611109</v>
      </c>
      <c r="B1301">
        <v>2250</v>
      </c>
      <c r="C1301">
        <v>0.68869999999999998</v>
      </c>
      <c r="D1301">
        <v>246.9675</v>
      </c>
      <c r="E1301">
        <v>169.99481</v>
      </c>
      <c r="F1301">
        <v>0</v>
      </c>
    </row>
    <row r="1302" spans="1:6" x14ac:dyDescent="0.3">
      <c r="A1302" s="51">
        <v>45991.681539351855</v>
      </c>
      <c r="B1302">
        <v>2260</v>
      </c>
      <c r="C1302">
        <v>0.6875</v>
      </c>
      <c r="D1302">
        <v>245.99250000000001</v>
      </c>
      <c r="E1302">
        <v>168.74484000000001</v>
      </c>
      <c r="F1302">
        <v>0</v>
      </c>
    </row>
    <row r="1303" spans="1:6" x14ac:dyDescent="0.3">
      <c r="A1303" s="51">
        <v>45991.681655092594</v>
      </c>
      <c r="B1303">
        <v>2270</v>
      </c>
      <c r="C1303">
        <v>0.68369999999999997</v>
      </c>
      <c r="D1303">
        <v>244.99250000000001</v>
      </c>
      <c r="E1303">
        <v>168.11986999999999</v>
      </c>
      <c r="F1303">
        <v>0</v>
      </c>
    </row>
    <row r="1304" spans="1:6" x14ac:dyDescent="0.3">
      <c r="A1304" s="51">
        <v>45991.681770833333</v>
      </c>
      <c r="B1304">
        <v>2280</v>
      </c>
      <c r="C1304">
        <v>0.6825</v>
      </c>
      <c r="D1304">
        <v>243.9426</v>
      </c>
      <c r="E1304">
        <v>166.8699</v>
      </c>
      <c r="F1304">
        <v>0</v>
      </c>
    </row>
    <row r="1305" spans="1:6" x14ac:dyDescent="0.3">
      <c r="A1305" s="51">
        <v>45991.681886574072</v>
      </c>
      <c r="B1305">
        <v>2290</v>
      </c>
      <c r="C1305">
        <v>0.67749999999999999</v>
      </c>
      <c r="D1305">
        <v>242.89259999999999</v>
      </c>
      <c r="E1305">
        <v>164.36998</v>
      </c>
      <c r="F1305">
        <v>0</v>
      </c>
    </row>
    <row r="1306" spans="1:6" x14ac:dyDescent="0.3">
      <c r="A1306" s="51">
        <v>45991.682002314818</v>
      </c>
      <c r="B1306">
        <v>2300</v>
      </c>
      <c r="C1306">
        <v>0.67500000000000004</v>
      </c>
      <c r="D1306">
        <v>241.8426</v>
      </c>
      <c r="E1306">
        <v>163.12003000000001</v>
      </c>
      <c r="F1306">
        <v>0</v>
      </c>
    </row>
    <row r="1307" spans="1:6" x14ac:dyDescent="0.3">
      <c r="A1307" s="51">
        <v>45991.682118055556</v>
      </c>
      <c r="B1307">
        <v>2310</v>
      </c>
      <c r="C1307">
        <v>0.67120000000000002</v>
      </c>
      <c r="D1307">
        <v>240.74270000000001</v>
      </c>
      <c r="E1307">
        <v>161.24509</v>
      </c>
      <c r="F1307">
        <v>0</v>
      </c>
    </row>
    <row r="1308" spans="1:6" x14ac:dyDescent="0.3">
      <c r="A1308" s="51">
        <v>45991.682233796295</v>
      </c>
      <c r="B1308">
        <v>2320</v>
      </c>
      <c r="C1308">
        <v>0.66869999999999996</v>
      </c>
      <c r="D1308">
        <v>239.5677</v>
      </c>
      <c r="E1308">
        <v>159.99511999999999</v>
      </c>
      <c r="F1308">
        <v>0</v>
      </c>
    </row>
    <row r="1309" spans="1:6" x14ac:dyDescent="0.3">
      <c r="A1309" s="51">
        <v>45991.682349537034</v>
      </c>
      <c r="B1309">
        <v>2330</v>
      </c>
      <c r="C1309">
        <v>0.66369999999999996</v>
      </c>
      <c r="D1309">
        <v>238.4427</v>
      </c>
      <c r="E1309">
        <v>158.12018</v>
      </c>
      <c r="F1309">
        <v>0</v>
      </c>
    </row>
    <row r="1310" spans="1:6" x14ac:dyDescent="0.3">
      <c r="A1310" s="51">
        <v>45991.68246527778</v>
      </c>
      <c r="B1310">
        <v>2340</v>
      </c>
      <c r="C1310">
        <v>0.97619999999999996</v>
      </c>
      <c r="D1310">
        <v>0</v>
      </c>
      <c r="E1310">
        <v>0</v>
      </c>
      <c r="F1310">
        <v>1</v>
      </c>
    </row>
    <row r="1311" spans="1:6" x14ac:dyDescent="0.3">
      <c r="A1311" s="51" t="s">
        <v>5</v>
      </c>
      <c r="B1311"/>
      <c r="C1311"/>
      <c r="D1311"/>
      <c r="E1311"/>
      <c r="F13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AE19-7F31-43FB-8DF2-463C1A3B1010}">
  <dimension ref="A1:I960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19.88671875" defaultRowHeight="14.4" x14ac:dyDescent="0.3"/>
  <cols>
    <col min="1" max="1" width="17.6640625" style="32" customWidth="1"/>
    <col min="2" max="2" width="8.44140625" style="5" customWidth="1"/>
    <col min="3" max="3" width="9.21875" style="5" customWidth="1"/>
    <col min="4" max="4" width="9.77734375" style="5" customWidth="1"/>
    <col min="5" max="5" width="11.5546875" style="5" customWidth="1"/>
    <col min="6" max="6" width="14.33203125" style="5" customWidth="1"/>
    <col min="7" max="7" width="10.88671875" style="5" customWidth="1"/>
    <col min="8" max="8" width="11" style="5" customWidth="1"/>
    <col min="9" max="9" width="12.109375" style="67" customWidth="1"/>
    <col min="10" max="16384" width="19.88671875" style="5"/>
  </cols>
  <sheetData>
    <row r="1" spans="1:9" s="58" customFormat="1" ht="28.8" x14ac:dyDescent="0.3">
      <c r="A1" s="52" t="s">
        <v>27</v>
      </c>
      <c r="B1" s="53" t="s">
        <v>28</v>
      </c>
      <c r="C1" s="54" t="s">
        <v>29</v>
      </c>
      <c r="D1" s="55" t="s">
        <v>30</v>
      </c>
      <c r="E1" s="56" t="s">
        <v>31</v>
      </c>
      <c r="F1" s="53" t="s">
        <v>32</v>
      </c>
      <c r="G1" s="57" t="s">
        <v>12</v>
      </c>
      <c r="H1" s="44" t="s">
        <v>33</v>
      </c>
      <c r="I1" s="64" t="s">
        <v>34</v>
      </c>
    </row>
    <row r="2" spans="1:9" x14ac:dyDescent="0.3">
      <c r="A2" s="33">
        <v>45995.392071759263</v>
      </c>
      <c r="B2" s="34">
        <v>10</v>
      </c>
      <c r="C2" s="34">
        <v>1.4612000000000001</v>
      </c>
      <c r="D2" s="34">
        <v>0</v>
      </c>
      <c r="E2" s="34">
        <v>0</v>
      </c>
      <c r="F2" s="34">
        <v>0</v>
      </c>
      <c r="G2" s="59"/>
      <c r="H2" s="63"/>
      <c r="I2" s="65"/>
    </row>
    <row r="3" spans="1:9" x14ac:dyDescent="0.3">
      <c r="A3" s="33">
        <v>45995.392187500001</v>
      </c>
      <c r="B3" s="34">
        <v>20</v>
      </c>
      <c r="C3" s="34">
        <v>1.4762</v>
      </c>
      <c r="D3" s="34">
        <v>0</v>
      </c>
      <c r="E3" s="34">
        <v>0</v>
      </c>
      <c r="F3" s="34">
        <v>0</v>
      </c>
      <c r="G3" s="59"/>
      <c r="H3" s="63"/>
      <c r="I3" s="65"/>
    </row>
    <row r="4" spans="1:9" x14ac:dyDescent="0.3">
      <c r="A4" s="33">
        <v>45995.39230324074</v>
      </c>
      <c r="B4" s="34">
        <v>30</v>
      </c>
      <c r="C4" s="34">
        <v>1.4775</v>
      </c>
      <c r="D4" s="34">
        <v>0</v>
      </c>
      <c r="E4" s="34">
        <v>0</v>
      </c>
      <c r="F4" s="34">
        <v>0</v>
      </c>
      <c r="G4" s="59"/>
      <c r="H4" s="63"/>
      <c r="I4" s="65"/>
    </row>
    <row r="5" spans="1:9" x14ac:dyDescent="0.3">
      <c r="A5" s="33">
        <v>45995.392418981479</v>
      </c>
      <c r="B5" s="34">
        <v>40</v>
      </c>
      <c r="C5" s="34">
        <v>1.4762</v>
      </c>
      <c r="D5" s="34">
        <v>2.5000000000000001E-2</v>
      </c>
      <c r="E5" s="34">
        <v>0</v>
      </c>
      <c r="F5" s="34">
        <v>0</v>
      </c>
      <c r="G5" s="59"/>
      <c r="H5" s="63"/>
      <c r="I5" s="65"/>
    </row>
    <row r="6" spans="1:9" x14ac:dyDescent="0.3">
      <c r="A6" s="33">
        <v>45995.392534722225</v>
      </c>
      <c r="B6" s="34">
        <v>50</v>
      </c>
      <c r="C6" s="34">
        <v>1.085</v>
      </c>
      <c r="D6" s="34">
        <v>5.3498000000000001</v>
      </c>
      <c r="E6" s="34">
        <v>6.2498089999999999</v>
      </c>
      <c r="F6" s="34">
        <v>0</v>
      </c>
      <c r="G6" s="59"/>
      <c r="H6" s="63"/>
      <c r="I6" s="65"/>
    </row>
    <row r="7" spans="1:9" x14ac:dyDescent="0.3">
      <c r="A7" s="33">
        <v>45995.392650462964</v>
      </c>
      <c r="B7" s="34">
        <v>60</v>
      </c>
      <c r="C7" s="34">
        <v>1.1000000000000001</v>
      </c>
      <c r="D7" s="34">
        <v>4.8749000000000002</v>
      </c>
      <c r="E7" s="34">
        <v>4.9998469999999999</v>
      </c>
      <c r="F7" s="34">
        <v>0</v>
      </c>
      <c r="G7" s="59"/>
      <c r="H7" s="63"/>
      <c r="I7" s="65"/>
    </row>
    <row r="8" spans="1:9" x14ac:dyDescent="0.3">
      <c r="A8" s="33">
        <v>45995.392766203702</v>
      </c>
      <c r="B8" s="34">
        <v>70</v>
      </c>
      <c r="C8" s="34">
        <v>1.08</v>
      </c>
      <c r="D8" s="34">
        <v>5.4497999999999998</v>
      </c>
      <c r="E8" s="34">
        <v>6.2498089999999999</v>
      </c>
      <c r="F8" s="34">
        <v>0</v>
      </c>
      <c r="G8" s="59"/>
      <c r="H8" s="63"/>
      <c r="I8" s="65"/>
    </row>
    <row r="9" spans="1:9" x14ac:dyDescent="0.3">
      <c r="A9" s="33">
        <v>45995.392881944441</v>
      </c>
      <c r="B9" s="34">
        <v>80</v>
      </c>
      <c r="C9" s="34">
        <v>1.1225000000000001</v>
      </c>
      <c r="D9" s="34">
        <v>416.63729999999998</v>
      </c>
      <c r="E9" s="34">
        <v>467.48572000000001</v>
      </c>
      <c r="F9" s="34">
        <v>0</v>
      </c>
      <c r="G9" s="59">
        <f>($B$2/3600)*((D9+D8)/2)</f>
        <v>0.58623208333333332</v>
      </c>
      <c r="H9" s="63">
        <f>($B$2/3600)*(D8/3+D9/3+D10/3)</f>
        <v>0.77270787037037048</v>
      </c>
      <c r="I9" s="66">
        <f>(C2-C9)/(E9/1000)</f>
        <v>0.72451410922241644</v>
      </c>
    </row>
    <row r="10" spans="1:9" x14ac:dyDescent="0.3">
      <c r="A10" s="33">
        <v>45995.392997685187</v>
      </c>
      <c r="B10" s="34">
        <v>90</v>
      </c>
      <c r="C10" s="34">
        <v>1.115</v>
      </c>
      <c r="D10" s="34">
        <v>412.43740000000003</v>
      </c>
      <c r="E10" s="34">
        <v>459.98595999999998</v>
      </c>
      <c r="F10" s="34">
        <v>0</v>
      </c>
      <c r="G10" s="59">
        <f t="shared" ref="G10:G73" si="0">($B$2/3600)*((D10+D9)/2)</f>
        <v>1.1514926388888889</v>
      </c>
      <c r="H10" s="63">
        <f t="shared" ref="H10:H73" si="1">($B$2/3600)*(D9/3+D10/3+D11/3)</f>
        <v>1.146978888888889</v>
      </c>
      <c r="I10" s="65"/>
    </row>
    <row r="11" spans="1:9" x14ac:dyDescent="0.3">
      <c r="A11" s="33">
        <v>45995.393113425926</v>
      </c>
      <c r="B11" s="34">
        <v>100</v>
      </c>
      <c r="C11" s="34">
        <v>0.9425</v>
      </c>
      <c r="D11" s="34">
        <v>409.66250000000002</v>
      </c>
      <c r="E11" s="34">
        <v>386.23822000000001</v>
      </c>
      <c r="F11" s="34">
        <v>0</v>
      </c>
      <c r="G11" s="59">
        <f t="shared" si="0"/>
        <v>1.1418054166666667</v>
      </c>
      <c r="H11" s="63">
        <f t="shared" si="1"/>
        <v>1.1386225925925928</v>
      </c>
      <c r="I11" s="65"/>
    </row>
    <row r="12" spans="1:9" x14ac:dyDescent="0.3">
      <c r="A12" s="33">
        <v>45995.393229166664</v>
      </c>
      <c r="B12" s="34">
        <v>110</v>
      </c>
      <c r="C12" s="34">
        <v>1.125</v>
      </c>
      <c r="D12" s="34">
        <v>407.61250000000001</v>
      </c>
      <c r="E12" s="34">
        <v>458.11102</v>
      </c>
      <c r="F12" s="34">
        <v>0</v>
      </c>
      <c r="G12" s="59">
        <f t="shared" si="0"/>
        <v>1.1351041666666668</v>
      </c>
      <c r="H12" s="63">
        <f t="shared" si="1"/>
        <v>1.1325348148148149</v>
      </c>
      <c r="I12" s="65"/>
    </row>
    <row r="13" spans="1:9" x14ac:dyDescent="0.3">
      <c r="A13" s="33">
        <v>45995.39334490741</v>
      </c>
      <c r="B13" s="34">
        <v>120</v>
      </c>
      <c r="C13" s="34">
        <v>1.115</v>
      </c>
      <c r="D13" s="34">
        <v>405.86259999999999</v>
      </c>
      <c r="E13" s="34">
        <v>452.48621000000003</v>
      </c>
      <c r="F13" s="34">
        <v>0</v>
      </c>
      <c r="G13" s="59">
        <f t="shared" si="0"/>
        <v>1.1298265277777779</v>
      </c>
      <c r="H13" s="63">
        <f t="shared" si="1"/>
        <v>1.1275812962962963</v>
      </c>
      <c r="I13" s="65"/>
    </row>
    <row r="14" spans="1:9" x14ac:dyDescent="0.3">
      <c r="A14" s="33">
        <v>45995.393460648149</v>
      </c>
      <c r="B14" s="34">
        <v>130</v>
      </c>
      <c r="C14" s="34">
        <v>1.1162000000000001</v>
      </c>
      <c r="D14" s="34">
        <v>404.31270000000001</v>
      </c>
      <c r="E14" s="34">
        <v>451.86121000000003</v>
      </c>
      <c r="F14" s="34">
        <v>0</v>
      </c>
      <c r="G14" s="59">
        <f t="shared" si="0"/>
        <v>1.1252434722222222</v>
      </c>
      <c r="H14" s="63">
        <f t="shared" si="1"/>
        <v>1.1232064814814815</v>
      </c>
      <c r="I14" s="65"/>
    </row>
    <row r="15" spans="1:9" x14ac:dyDescent="0.3">
      <c r="A15" s="33">
        <v>45995.393576388888</v>
      </c>
      <c r="B15" s="34">
        <v>140</v>
      </c>
      <c r="C15" s="34">
        <v>1.1213</v>
      </c>
      <c r="D15" s="34">
        <v>402.8877</v>
      </c>
      <c r="E15" s="34">
        <v>451.86121000000003</v>
      </c>
      <c r="F15" s="34">
        <v>0</v>
      </c>
      <c r="G15" s="59">
        <f t="shared" si="0"/>
        <v>1.1211116666666667</v>
      </c>
      <c r="H15" s="63">
        <f t="shared" si="1"/>
        <v>1.1191556481481482</v>
      </c>
      <c r="I15" s="65"/>
    </row>
    <row r="16" spans="1:9" x14ac:dyDescent="0.3">
      <c r="A16" s="33">
        <v>45995.393692129626</v>
      </c>
      <c r="B16" s="34">
        <v>150</v>
      </c>
      <c r="C16" s="34">
        <v>1.1136999999999999</v>
      </c>
      <c r="D16" s="34">
        <v>401.48770000000002</v>
      </c>
      <c r="E16" s="34">
        <v>447.48633000000001</v>
      </c>
      <c r="F16" s="34">
        <v>0</v>
      </c>
      <c r="G16" s="59">
        <f t="shared" si="0"/>
        <v>1.1171880555555556</v>
      </c>
      <c r="H16" s="63">
        <f t="shared" si="1"/>
        <v>1.1154520370370371</v>
      </c>
      <c r="I16" s="65"/>
    </row>
    <row r="17" spans="1:9" x14ac:dyDescent="0.3">
      <c r="A17" s="33">
        <v>45995.393807870372</v>
      </c>
      <c r="B17" s="34">
        <v>160</v>
      </c>
      <c r="C17" s="34">
        <v>1.1062000000000001</v>
      </c>
      <c r="D17" s="34">
        <v>400.31279999999998</v>
      </c>
      <c r="E17" s="34">
        <v>442.48651000000001</v>
      </c>
      <c r="F17" s="34">
        <v>0</v>
      </c>
      <c r="G17" s="59">
        <f t="shared" si="0"/>
        <v>1.1136118055555557</v>
      </c>
      <c r="H17" s="63">
        <f t="shared" si="1"/>
        <v>1.1120262037037036</v>
      </c>
      <c r="I17" s="65"/>
    </row>
    <row r="18" spans="1:9" x14ac:dyDescent="0.3">
      <c r="A18" s="33">
        <v>45995.393923611111</v>
      </c>
      <c r="B18" s="34">
        <v>170</v>
      </c>
      <c r="C18" s="34">
        <v>1.1025</v>
      </c>
      <c r="D18" s="34">
        <v>399.18779999999998</v>
      </c>
      <c r="E18" s="34">
        <v>439.98656999999997</v>
      </c>
      <c r="F18" s="34">
        <v>0</v>
      </c>
      <c r="G18" s="59">
        <f t="shared" si="0"/>
        <v>1.1104175000000001</v>
      </c>
      <c r="H18" s="63">
        <f t="shared" si="1"/>
        <v>0.74027833333333337</v>
      </c>
      <c r="I18" s="66">
        <f>(C24-C18)/(E18/1000)</f>
        <v>0.78116020677631115</v>
      </c>
    </row>
    <row r="19" spans="1:9" x14ac:dyDescent="0.3">
      <c r="A19" s="33">
        <v>45995.39403935185</v>
      </c>
      <c r="B19" s="34">
        <v>180</v>
      </c>
      <c r="C19" s="34">
        <v>1.4212</v>
      </c>
      <c r="D19" s="34">
        <v>0</v>
      </c>
      <c r="E19" s="34">
        <v>0</v>
      </c>
      <c r="F19" s="34">
        <v>1</v>
      </c>
      <c r="G19" s="59">
        <f t="shared" si="0"/>
        <v>0.55442749999999996</v>
      </c>
      <c r="H19" s="63">
        <f t="shared" si="1"/>
        <v>0.36961833333333338</v>
      </c>
      <c r="I19" s="65"/>
    </row>
    <row r="20" spans="1:9" x14ac:dyDescent="0.3">
      <c r="A20" s="33">
        <v>45995.394155092596</v>
      </c>
      <c r="B20" s="34">
        <v>190</v>
      </c>
      <c r="C20" s="34">
        <v>1.43</v>
      </c>
      <c r="D20" s="34">
        <v>0</v>
      </c>
      <c r="E20" s="34">
        <v>0</v>
      </c>
      <c r="F20" s="34">
        <v>1</v>
      </c>
      <c r="G20" s="59">
        <f t="shared" si="0"/>
        <v>0</v>
      </c>
      <c r="H20" s="63">
        <f t="shared" si="1"/>
        <v>0</v>
      </c>
      <c r="I20" s="65"/>
    </row>
    <row r="21" spans="1:9" x14ac:dyDescent="0.3">
      <c r="A21" s="33">
        <v>45995.394270833334</v>
      </c>
      <c r="B21" s="34">
        <v>200</v>
      </c>
      <c r="C21" s="34">
        <v>1.4375</v>
      </c>
      <c r="D21" s="34">
        <v>0</v>
      </c>
      <c r="E21" s="34">
        <v>0</v>
      </c>
      <c r="F21" s="34">
        <v>1</v>
      </c>
      <c r="G21" s="59">
        <f t="shared" si="0"/>
        <v>0</v>
      </c>
      <c r="H21" s="63">
        <f t="shared" si="1"/>
        <v>0</v>
      </c>
      <c r="I21" s="65"/>
    </row>
    <row r="22" spans="1:9" x14ac:dyDescent="0.3">
      <c r="A22" s="33">
        <v>45995.394386574073</v>
      </c>
      <c r="B22" s="34">
        <v>210</v>
      </c>
      <c r="C22" s="34">
        <v>1.44</v>
      </c>
      <c r="D22" s="34">
        <v>0</v>
      </c>
      <c r="E22" s="34">
        <v>0</v>
      </c>
      <c r="F22" s="34">
        <v>1</v>
      </c>
      <c r="G22" s="59">
        <f t="shared" si="0"/>
        <v>0</v>
      </c>
      <c r="H22" s="63">
        <f t="shared" si="1"/>
        <v>0</v>
      </c>
      <c r="I22" s="65"/>
    </row>
    <row r="23" spans="1:9" x14ac:dyDescent="0.3">
      <c r="A23" s="33">
        <v>45995.394502314812</v>
      </c>
      <c r="B23" s="34">
        <v>220</v>
      </c>
      <c r="C23" s="34">
        <v>1.4424999999999999</v>
      </c>
      <c r="D23" s="34">
        <v>0</v>
      </c>
      <c r="E23" s="34">
        <v>0</v>
      </c>
      <c r="F23" s="34">
        <v>1</v>
      </c>
      <c r="G23" s="59">
        <f t="shared" si="0"/>
        <v>0</v>
      </c>
      <c r="H23" s="63">
        <f t="shared" si="1"/>
        <v>0</v>
      </c>
      <c r="I23" s="65"/>
    </row>
    <row r="24" spans="1:9" x14ac:dyDescent="0.3">
      <c r="A24" s="33">
        <v>45995.394618055558</v>
      </c>
      <c r="B24" s="34">
        <v>230</v>
      </c>
      <c r="C24" s="34">
        <v>1.4461999999999999</v>
      </c>
      <c r="D24" s="34">
        <v>0</v>
      </c>
      <c r="E24" s="34">
        <v>0</v>
      </c>
      <c r="F24" s="34">
        <v>1</v>
      </c>
      <c r="G24" s="59">
        <f t="shared" si="0"/>
        <v>0</v>
      </c>
      <c r="H24" s="63">
        <f t="shared" si="1"/>
        <v>0.3751505555555556</v>
      </c>
      <c r="I24" s="65"/>
    </row>
    <row r="25" spans="1:9" x14ac:dyDescent="0.3">
      <c r="A25" s="33">
        <v>45995.394733796296</v>
      </c>
      <c r="B25" s="34">
        <v>240</v>
      </c>
      <c r="C25" s="34">
        <v>1.1837</v>
      </c>
      <c r="D25" s="34">
        <v>405.1626</v>
      </c>
      <c r="E25" s="34">
        <v>479.36038000000002</v>
      </c>
      <c r="F25" s="34">
        <v>0</v>
      </c>
      <c r="G25" s="59">
        <f t="shared" si="0"/>
        <v>0.56272583333333337</v>
      </c>
      <c r="H25" s="63">
        <f t="shared" si="1"/>
        <v>0.74719935185185182</v>
      </c>
      <c r="I25" s="66">
        <f>(C24-C25)/(D25/1000)</f>
        <v>0.64788803310078469</v>
      </c>
    </row>
    <row r="26" spans="1:9" x14ac:dyDescent="0.3">
      <c r="A26" s="33">
        <v>45995.394849537035</v>
      </c>
      <c r="B26" s="34">
        <v>250</v>
      </c>
      <c r="C26" s="34">
        <v>1.1737</v>
      </c>
      <c r="D26" s="34">
        <v>401.81270000000001</v>
      </c>
      <c r="E26" s="34">
        <v>471.86059999999998</v>
      </c>
      <c r="F26" s="34">
        <v>0</v>
      </c>
      <c r="G26" s="59">
        <f t="shared" si="0"/>
        <v>1.120799027777778</v>
      </c>
      <c r="H26" s="63">
        <f t="shared" si="1"/>
        <v>1.1172575</v>
      </c>
      <c r="I26" s="65"/>
    </row>
    <row r="27" spans="1:9" x14ac:dyDescent="0.3">
      <c r="A27" s="33">
        <v>45995.394965277781</v>
      </c>
      <c r="B27" s="34">
        <v>260</v>
      </c>
      <c r="C27" s="34">
        <v>1.1661999999999999</v>
      </c>
      <c r="D27" s="34">
        <v>399.6628</v>
      </c>
      <c r="E27" s="34">
        <v>466.23577999999998</v>
      </c>
      <c r="F27" s="34">
        <v>0</v>
      </c>
      <c r="G27" s="59">
        <f t="shared" si="0"/>
        <v>1.1131604166666667</v>
      </c>
      <c r="H27" s="63">
        <f t="shared" si="1"/>
        <v>1.1106604629629631</v>
      </c>
      <c r="I27" s="65"/>
    </row>
    <row r="28" spans="1:9" x14ac:dyDescent="0.3">
      <c r="A28" s="33">
        <v>45995.39508101852</v>
      </c>
      <c r="B28" s="34">
        <v>270</v>
      </c>
      <c r="C28" s="34">
        <v>1.1612</v>
      </c>
      <c r="D28" s="34">
        <v>398.0378</v>
      </c>
      <c r="E28" s="34">
        <v>461.86090000000002</v>
      </c>
      <c r="F28" s="34">
        <v>0</v>
      </c>
      <c r="G28" s="59">
        <f t="shared" si="0"/>
        <v>1.1079175000000001</v>
      </c>
      <c r="H28" s="63">
        <f t="shared" si="1"/>
        <v>1.1058226851851853</v>
      </c>
      <c r="I28" s="65"/>
    </row>
    <row r="29" spans="1:9" x14ac:dyDescent="0.3">
      <c r="A29" s="33">
        <v>45995.395196759258</v>
      </c>
      <c r="B29" s="34">
        <v>280</v>
      </c>
      <c r="C29" s="34">
        <v>1.1587000000000001</v>
      </c>
      <c r="D29" s="34">
        <v>396.58789999999999</v>
      </c>
      <c r="E29" s="34">
        <v>459.36099000000002</v>
      </c>
      <c r="F29" s="34">
        <v>0</v>
      </c>
      <c r="G29" s="59">
        <f t="shared" si="0"/>
        <v>1.1036468055555557</v>
      </c>
      <c r="H29" s="63">
        <f t="shared" si="1"/>
        <v>1.1017718518518518</v>
      </c>
      <c r="I29" s="65"/>
    </row>
    <row r="30" spans="1:9" x14ac:dyDescent="0.3">
      <c r="A30" s="33">
        <v>45995.395312499997</v>
      </c>
      <c r="B30" s="34">
        <v>290</v>
      </c>
      <c r="C30" s="34">
        <v>1.1536999999999999</v>
      </c>
      <c r="D30" s="34">
        <v>395.28789999999998</v>
      </c>
      <c r="E30" s="34">
        <v>455.61108000000002</v>
      </c>
      <c r="F30" s="34">
        <v>0</v>
      </c>
      <c r="G30" s="59">
        <f t="shared" si="0"/>
        <v>1.0998275000000002</v>
      </c>
      <c r="H30" s="63">
        <f t="shared" si="1"/>
        <v>1.0981377777777779</v>
      </c>
      <c r="I30" s="65"/>
    </row>
    <row r="31" spans="1:9" x14ac:dyDescent="0.3">
      <c r="A31" s="33">
        <v>45995.395428240743</v>
      </c>
      <c r="B31" s="34">
        <v>300</v>
      </c>
      <c r="C31" s="34">
        <v>1.1499999999999999</v>
      </c>
      <c r="D31" s="34">
        <v>394.113</v>
      </c>
      <c r="E31" s="34">
        <v>453.73615000000001</v>
      </c>
      <c r="F31" s="34">
        <v>0</v>
      </c>
      <c r="G31" s="59">
        <f t="shared" si="0"/>
        <v>1.0963901388888888</v>
      </c>
      <c r="H31" s="63">
        <f t="shared" si="1"/>
        <v>1.0947582407407408</v>
      </c>
      <c r="I31" s="65"/>
    </row>
    <row r="32" spans="1:9" x14ac:dyDescent="0.3">
      <c r="A32" s="33">
        <v>45995.395543981482</v>
      </c>
      <c r="B32" s="34">
        <v>310</v>
      </c>
      <c r="C32" s="34">
        <v>1.1463000000000001</v>
      </c>
      <c r="D32" s="34">
        <v>392.93799999999999</v>
      </c>
      <c r="E32" s="34">
        <v>450.61124000000001</v>
      </c>
      <c r="F32" s="34">
        <v>0</v>
      </c>
      <c r="G32" s="59">
        <f t="shared" si="0"/>
        <v>1.0931263888888889</v>
      </c>
      <c r="H32" s="63">
        <f t="shared" si="1"/>
        <v>1.0915870370370369</v>
      </c>
      <c r="I32" s="65"/>
    </row>
    <row r="33" spans="1:9" x14ac:dyDescent="0.3">
      <c r="A33" s="33">
        <v>45995.39565972222</v>
      </c>
      <c r="B33" s="34">
        <v>320</v>
      </c>
      <c r="C33" s="34">
        <v>1.1425000000000001</v>
      </c>
      <c r="D33" s="34">
        <v>391.863</v>
      </c>
      <c r="E33" s="34">
        <v>447.48633000000001</v>
      </c>
      <c r="F33" s="34">
        <v>0</v>
      </c>
      <c r="G33" s="59">
        <f t="shared" si="0"/>
        <v>1.0900013888888889</v>
      </c>
      <c r="H33" s="63">
        <f t="shared" si="1"/>
        <v>1.0886010185185184</v>
      </c>
      <c r="I33" s="65"/>
    </row>
    <row r="34" spans="1:9" x14ac:dyDescent="0.3">
      <c r="A34" s="33">
        <v>45995.395775462966</v>
      </c>
      <c r="B34" s="34">
        <v>330</v>
      </c>
      <c r="C34" s="34">
        <v>1.1399999999999999</v>
      </c>
      <c r="D34" s="34">
        <v>390.88810000000001</v>
      </c>
      <c r="E34" s="34">
        <v>445.61138999999997</v>
      </c>
      <c r="F34" s="34">
        <v>0</v>
      </c>
      <c r="G34" s="59">
        <f t="shared" si="0"/>
        <v>1.0871543055555555</v>
      </c>
      <c r="H34" s="63">
        <f t="shared" si="1"/>
        <v>1.0859159259259259</v>
      </c>
      <c r="I34" s="65"/>
    </row>
    <row r="35" spans="1:9" x14ac:dyDescent="0.3">
      <c r="A35" s="33">
        <v>45995.395891203705</v>
      </c>
      <c r="B35" s="34">
        <v>340</v>
      </c>
      <c r="C35" s="34">
        <v>1.1363000000000001</v>
      </c>
      <c r="D35" s="34">
        <v>390.03809999999999</v>
      </c>
      <c r="E35" s="34">
        <v>443.11147999999997</v>
      </c>
      <c r="F35" s="34">
        <v>0</v>
      </c>
      <c r="G35" s="59">
        <f t="shared" si="0"/>
        <v>1.0846197222222222</v>
      </c>
      <c r="H35" s="63">
        <f t="shared" si="1"/>
        <v>1.0834854629629629</v>
      </c>
      <c r="I35" s="65"/>
    </row>
    <row r="36" spans="1:9" x14ac:dyDescent="0.3">
      <c r="A36" s="33">
        <v>45995.396006944444</v>
      </c>
      <c r="B36" s="34">
        <v>350</v>
      </c>
      <c r="C36" s="34">
        <v>1.1336999999999999</v>
      </c>
      <c r="D36" s="34">
        <v>389.23809999999997</v>
      </c>
      <c r="E36" s="34">
        <v>441.23653999999999</v>
      </c>
      <c r="F36" s="34">
        <v>0</v>
      </c>
      <c r="G36" s="59">
        <f t="shared" si="0"/>
        <v>1.0823280555555557</v>
      </c>
      <c r="H36" s="63">
        <f t="shared" si="1"/>
        <v>1.0812400925925927</v>
      </c>
      <c r="I36" s="65"/>
    </row>
    <row r="37" spans="1:9" x14ac:dyDescent="0.3">
      <c r="A37" s="33">
        <v>45995.396122685182</v>
      </c>
      <c r="B37" s="34">
        <v>360</v>
      </c>
      <c r="C37" s="34">
        <v>1.1313</v>
      </c>
      <c r="D37" s="34">
        <v>388.4631</v>
      </c>
      <c r="E37" s="34">
        <v>439.98656999999997</v>
      </c>
      <c r="F37" s="34">
        <v>0</v>
      </c>
      <c r="G37" s="59">
        <f t="shared" si="0"/>
        <v>1.0801405555555557</v>
      </c>
      <c r="H37" s="63">
        <f t="shared" si="1"/>
        <v>1.0791337037037037</v>
      </c>
      <c r="I37" s="65"/>
    </row>
    <row r="38" spans="1:9" x14ac:dyDescent="0.3">
      <c r="A38" s="33">
        <v>45995.396238425928</v>
      </c>
      <c r="B38" s="34">
        <v>370</v>
      </c>
      <c r="C38" s="34">
        <v>1.1287</v>
      </c>
      <c r="D38" s="34">
        <v>387.76319999999998</v>
      </c>
      <c r="E38" s="34">
        <v>437.48662999999999</v>
      </c>
      <c r="F38" s="34">
        <v>0</v>
      </c>
      <c r="G38" s="59">
        <f t="shared" si="0"/>
        <v>1.0780920833333334</v>
      </c>
      <c r="H38" s="63">
        <f t="shared" si="1"/>
        <v>1.0771662037037038</v>
      </c>
      <c r="I38" s="65"/>
    </row>
    <row r="39" spans="1:9" x14ac:dyDescent="0.3">
      <c r="A39" s="33">
        <v>45995.396354166667</v>
      </c>
      <c r="B39" s="34">
        <v>380</v>
      </c>
      <c r="C39" s="34">
        <v>1.1274999999999999</v>
      </c>
      <c r="D39" s="34">
        <v>387.11320000000001</v>
      </c>
      <c r="E39" s="34">
        <v>436.23669000000001</v>
      </c>
      <c r="F39" s="34">
        <v>0</v>
      </c>
      <c r="G39" s="59">
        <f t="shared" si="0"/>
        <v>1.0762172222222222</v>
      </c>
      <c r="H39" s="63">
        <f t="shared" si="1"/>
        <v>1.0753144444444445</v>
      </c>
      <c r="I39" s="65"/>
    </row>
    <row r="40" spans="1:9" x14ac:dyDescent="0.3">
      <c r="A40" s="33">
        <v>45995.396469907406</v>
      </c>
      <c r="B40" s="34">
        <v>390</v>
      </c>
      <c r="C40" s="34">
        <v>1.125</v>
      </c>
      <c r="D40" s="34">
        <v>386.46319999999997</v>
      </c>
      <c r="E40" s="34">
        <v>434.98671999999999</v>
      </c>
      <c r="F40" s="34">
        <v>0</v>
      </c>
      <c r="G40" s="59">
        <f t="shared" si="0"/>
        <v>1.0744116666666665</v>
      </c>
      <c r="H40" s="63">
        <f t="shared" si="1"/>
        <v>1.0735088888888888</v>
      </c>
      <c r="I40" s="65"/>
    </row>
    <row r="41" spans="1:9" x14ac:dyDescent="0.3">
      <c r="A41" s="33">
        <v>45995.396585648145</v>
      </c>
      <c r="B41" s="34">
        <v>400</v>
      </c>
      <c r="C41" s="34">
        <v>1.1236999999999999</v>
      </c>
      <c r="D41" s="34">
        <v>385.81319999999999</v>
      </c>
      <c r="E41" s="34">
        <v>433.11178999999998</v>
      </c>
      <c r="F41" s="34">
        <v>0</v>
      </c>
      <c r="G41" s="59">
        <f t="shared" si="0"/>
        <v>1.0726061111111111</v>
      </c>
      <c r="H41" s="63">
        <f t="shared" si="1"/>
        <v>1.0717496296296298</v>
      </c>
      <c r="I41" s="65"/>
    </row>
    <row r="42" spans="1:9" x14ac:dyDescent="0.3">
      <c r="A42" s="33">
        <v>45995.396701388891</v>
      </c>
      <c r="B42" s="34">
        <v>410</v>
      </c>
      <c r="C42" s="34">
        <v>1.1213</v>
      </c>
      <c r="D42" s="34">
        <v>385.21319999999997</v>
      </c>
      <c r="E42" s="34">
        <v>431.86182000000002</v>
      </c>
      <c r="F42" s="34">
        <v>0</v>
      </c>
      <c r="G42" s="59">
        <f t="shared" si="0"/>
        <v>1.07087</v>
      </c>
      <c r="H42" s="63">
        <f t="shared" si="1"/>
        <v>0.71391333333333318</v>
      </c>
      <c r="I42" s="66">
        <f>(C48-C42)/(D42/1000)</f>
        <v>0.72012070199048239</v>
      </c>
    </row>
    <row r="43" spans="1:9" x14ac:dyDescent="0.3">
      <c r="A43" s="33">
        <v>45995.396817129629</v>
      </c>
      <c r="B43" s="34">
        <v>420</v>
      </c>
      <c r="C43" s="34">
        <v>1.3736999999999999</v>
      </c>
      <c r="D43" s="34">
        <v>0</v>
      </c>
      <c r="E43" s="34">
        <v>0</v>
      </c>
      <c r="F43" s="34">
        <v>1</v>
      </c>
      <c r="G43" s="59">
        <f t="shared" si="0"/>
        <v>0.53501833333333326</v>
      </c>
      <c r="H43" s="63">
        <f t="shared" si="1"/>
        <v>0.35667888888888882</v>
      </c>
      <c r="I43" s="65"/>
    </row>
    <row r="44" spans="1:9" x14ac:dyDescent="0.3">
      <c r="A44" s="33">
        <v>45995.396932870368</v>
      </c>
      <c r="B44" s="34">
        <v>430</v>
      </c>
      <c r="C44" s="34">
        <v>1.3836999999999999</v>
      </c>
      <c r="D44" s="34">
        <v>0</v>
      </c>
      <c r="E44" s="34">
        <v>0</v>
      </c>
      <c r="F44" s="34">
        <v>1</v>
      </c>
      <c r="G44" s="59">
        <f t="shared" si="0"/>
        <v>0</v>
      </c>
      <c r="H44" s="63">
        <f t="shared" si="1"/>
        <v>0</v>
      </c>
      <c r="I44" s="65"/>
    </row>
    <row r="45" spans="1:9" x14ac:dyDescent="0.3">
      <c r="A45" s="33">
        <v>45995.397048611114</v>
      </c>
      <c r="B45" s="34">
        <v>440</v>
      </c>
      <c r="C45" s="34">
        <v>1.39</v>
      </c>
      <c r="D45" s="34">
        <v>0</v>
      </c>
      <c r="E45" s="34">
        <v>0</v>
      </c>
      <c r="F45" s="34">
        <v>1</v>
      </c>
      <c r="G45" s="59">
        <f t="shared" si="0"/>
        <v>0</v>
      </c>
      <c r="H45" s="63">
        <f t="shared" si="1"/>
        <v>0</v>
      </c>
      <c r="I45" s="65"/>
    </row>
    <row r="46" spans="1:9" x14ac:dyDescent="0.3">
      <c r="A46" s="33">
        <v>45995.397164351853</v>
      </c>
      <c r="B46" s="34">
        <v>450</v>
      </c>
      <c r="C46" s="34">
        <v>1.395</v>
      </c>
      <c r="D46" s="34">
        <v>0</v>
      </c>
      <c r="E46" s="34">
        <v>0</v>
      </c>
      <c r="F46" s="34">
        <v>1</v>
      </c>
      <c r="G46" s="59">
        <f t="shared" si="0"/>
        <v>0</v>
      </c>
      <c r="H46" s="63">
        <f t="shared" si="1"/>
        <v>0</v>
      </c>
      <c r="I46" s="65"/>
    </row>
    <row r="47" spans="1:9" x14ac:dyDescent="0.3">
      <c r="A47" s="33">
        <v>45995.397280092591</v>
      </c>
      <c r="B47" s="34">
        <v>460</v>
      </c>
      <c r="C47" s="34">
        <v>1.3975</v>
      </c>
      <c r="D47" s="34">
        <v>0</v>
      </c>
      <c r="E47" s="34">
        <v>0</v>
      </c>
      <c r="F47" s="34">
        <v>1</v>
      </c>
      <c r="G47" s="59">
        <f t="shared" si="0"/>
        <v>0</v>
      </c>
      <c r="H47" s="63">
        <f t="shared" si="1"/>
        <v>0</v>
      </c>
      <c r="I47" s="65"/>
    </row>
    <row r="48" spans="1:9" x14ac:dyDescent="0.3">
      <c r="A48" s="33">
        <v>45995.39739583333</v>
      </c>
      <c r="B48" s="34">
        <v>470</v>
      </c>
      <c r="C48" s="34">
        <v>1.3987000000000001</v>
      </c>
      <c r="D48" s="34">
        <v>0</v>
      </c>
      <c r="E48" s="34">
        <v>0</v>
      </c>
      <c r="F48" s="34">
        <v>1</v>
      </c>
      <c r="G48" s="59">
        <f t="shared" si="0"/>
        <v>0</v>
      </c>
      <c r="H48" s="63">
        <f t="shared" si="1"/>
        <v>0.36260462962962964</v>
      </c>
      <c r="I48" s="65"/>
    </row>
    <row r="49" spans="1:9" x14ac:dyDescent="0.3">
      <c r="A49" s="33">
        <v>45995.397511574076</v>
      </c>
      <c r="B49" s="34">
        <v>480</v>
      </c>
      <c r="C49" s="34">
        <v>1.1413</v>
      </c>
      <c r="D49" s="34">
        <v>391.613</v>
      </c>
      <c r="E49" s="34">
        <v>446.23638999999997</v>
      </c>
      <c r="F49" s="34">
        <v>0</v>
      </c>
      <c r="G49" s="59">
        <f t="shared" si="0"/>
        <v>0.54390694444444443</v>
      </c>
      <c r="H49" s="63">
        <f t="shared" si="1"/>
        <v>0.72259361111111109</v>
      </c>
      <c r="I49" s="66">
        <f>(C48-C49)/(D49/1000)</f>
        <v>0.65728155091889207</v>
      </c>
    </row>
    <row r="50" spans="1:9" x14ac:dyDescent="0.3">
      <c r="A50" s="33">
        <v>45995.397627314815</v>
      </c>
      <c r="B50" s="34">
        <v>490</v>
      </c>
      <c r="C50" s="34">
        <v>1.1325000000000001</v>
      </c>
      <c r="D50" s="34">
        <v>388.78809999999999</v>
      </c>
      <c r="E50" s="34">
        <v>440.61153999999999</v>
      </c>
      <c r="F50" s="34">
        <v>0</v>
      </c>
      <c r="G50" s="59">
        <f t="shared" si="0"/>
        <v>1.0838904166666667</v>
      </c>
      <c r="H50" s="63">
        <f t="shared" si="1"/>
        <v>1.0809854629629629</v>
      </c>
      <c r="I50" s="65"/>
    </row>
    <row r="51" spans="1:9" x14ac:dyDescent="0.3">
      <c r="A51" s="33">
        <v>45995.397743055553</v>
      </c>
      <c r="B51" s="34">
        <v>500</v>
      </c>
      <c r="C51" s="34">
        <v>1.1274999999999999</v>
      </c>
      <c r="D51" s="34">
        <v>387.06319999999999</v>
      </c>
      <c r="E51" s="34">
        <v>436.23669000000001</v>
      </c>
      <c r="F51" s="34">
        <v>0</v>
      </c>
      <c r="G51" s="59">
        <f t="shared" si="0"/>
        <v>1.0775712500000001</v>
      </c>
      <c r="H51" s="63">
        <f t="shared" si="1"/>
        <v>1.0755458333333334</v>
      </c>
      <c r="I51" s="65"/>
    </row>
    <row r="52" spans="1:9" x14ac:dyDescent="0.3">
      <c r="A52" s="33">
        <v>45995.397858796299</v>
      </c>
      <c r="B52" s="34">
        <v>510</v>
      </c>
      <c r="C52" s="34">
        <v>1.1225000000000001</v>
      </c>
      <c r="D52" s="34">
        <v>385.73820000000001</v>
      </c>
      <c r="E52" s="34">
        <v>433.11178999999998</v>
      </c>
      <c r="F52" s="34">
        <v>0</v>
      </c>
      <c r="G52" s="59">
        <f t="shared" si="0"/>
        <v>1.0733352777777778</v>
      </c>
      <c r="H52" s="63">
        <f t="shared" si="1"/>
        <v>1.0717264814814815</v>
      </c>
      <c r="I52" s="65"/>
    </row>
    <row r="53" spans="1:9" x14ac:dyDescent="0.3">
      <c r="A53" s="33">
        <v>45995.397974537038</v>
      </c>
      <c r="B53" s="34">
        <v>520</v>
      </c>
      <c r="C53" s="34">
        <v>1.1187</v>
      </c>
      <c r="D53" s="34">
        <v>384.66320000000002</v>
      </c>
      <c r="E53" s="34">
        <v>429.98687999999999</v>
      </c>
      <c r="F53" s="34">
        <v>0</v>
      </c>
      <c r="G53" s="59">
        <f t="shared" si="0"/>
        <v>1.0700019444444444</v>
      </c>
      <c r="H53" s="63">
        <f t="shared" si="1"/>
        <v>1.0686478703703703</v>
      </c>
      <c r="I53" s="65"/>
    </row>
    <row r="54" spans="1:9" x14ac:dyDescent="0.3">
      <c r="A54" s="33">
        <v>45995.398090277777</v>
      </c>
      <c r="B54" s="34">
        <v>530</v>
      </c>
      <c r="C54" s="34">
        <v>1.1187</v>
      </c>
      <c r="D54" s="34">
        <v>383.73829999999998</v>
      </c>
      <c r="E54" s="34">
        <v>429.36191000000002</v>
      </c>
      <c r="F54" s="34">
        <v>0</v>
      </c>
      <c r="G54" s="59">
        <f t="shared" si="0"/>
        <v>1.0672243055555555</v>
      </c>
      <c r="H54" s="63">
        <f t="shared" si="1"/>
        <v>1.0661016666666665</v>
      </c>
      <c r="I54" s="65"/>
    </row>
    <row r="55" spans="1:9" x14ac:dyDescent="0.3">
      <c r="A55" s="33">
        <v>45995.398206018515</v>
      </c>
      <c r="B55" s="34">
        <v>540</v>
      </c>
      <c r="C55" s="34">
        <v>1.1162000000000001</v>
      </c>
      <c r="D55" s="34">
        <v>382.98829999999998</v>
      </c>
      <c r="E55" s="34">
        <v>426.86196999999999</v>
      </c>
      <c r="F55" s="34">
        <v>0</v>
      </c>
      <c r="G55" s="59">
        <f t="shared" si="0"/>
        <v>1.0648980555555556</v>
      </c>
      <c r="H55" s="63">
        <f t="shared" si="1"/>
        <v>1.0638563888888888</v>
      </c>
      <c r="I55" s="65"/>
    </row>
    <row r="56" spans="1:9" x14ac:dyDescent="0.3">
      <c r="A56" s="33">
        <v>45995.398321759261</v>
      </c>
      <c r="B56" s="34">
        <v>550</v>
      </c>
      <c r="C56" s="34">
        <v>1.1136999999999999</v>
      </c>
      <c r="D56" s="34">
        <v>382.23829999999998</v>
      </c>
      <c r="E56" s="34">
        <v>426.23700000000002</v>
      </c>
      <c r="F56" s="34">
        <v>0</v>
      </c>
      <c r="G56" s="59">
        <f t="shared" si="0"/>
        <v>1.0628147222222222</v>
      </c>
      <c r="H56" s="63">
        <f t="shared" si="1"/>
        <v>1.0618425925925925</v>
      </c>
      <c r="I56" s="65"/>
    </row>
    <row r="57" spans="1:9" x14ac:dyDescent="0.3">
      <c r="A57" s="33">
        <v>45995.3984375</v>
      </c>
      <c r="B57" s="34">
        <v>560</v>
      </c>
      <c r="C57" s="34">
        <v>1.1112</v>
      </c>
      <c r="D57" s="34">
        <v>381.5634</v>
      </c>
      <c r="E57" s="34">
        <v>423.73705999999999</v>
      </c>
      <c r="F57" s="34">
        <v>0</v>
      </c>
      <c r="G57" s="59">
        <f t="shared" si="0"/>
        <v>1.0608356944444444</v>
      </c>
      <c r="H57" s="63">
        <f t="shared" si="1"/>
        <v>1.0599445370370371</v>
      </c>
      <c r="I57" s="65"/>
    </row>
    <row r="58" spans="1:9" x14ac:dyDescent="0.3">
      <c r="A58" s="33">
        <v>45995.398553240739</v>
      </c>
      <c r="B58" s="34">
        <v>570</v>
      </c>
      <c r="C58" s="34">
        <v>1.1087</v>
      </c>
      <c r="D58" s="34">
        <v>380.9384</v>
      </c>
      <c r="E58" s="34">
        <v>421.86212</v>
      </c>
      <c r="F58" s="34">
        <v>0</v>
      </c>
      <c r="G58" s="59">
        <f t="shared" si="0"/>
        <v>1.0590302777777778</v>
      </c>
      <c r="H58" s="63">
        <f t="shared" si="1"/>
        <v>1.0581622222222222</v>
      </c>
      <c r="I58" s="65"/>
    </row>
    <row r="59" spans="1:9" x14ac:dyDescent="0.3">
      <c r="A59" s="33">
        <v>45995.398668981485</v>
      </c>
      <c r="B59" s="34">
        <v>580</v>
      </c>
      <c r="C59" s="34">
        <v>1.1074999999999999</v>
      </c>
      <c r="D59" s="34">
        <v>380.3134</v>
      </c>
      <c r="E59" s="34">
        <v>420.61214999999999</v>
      </c>
      <c r="F59" s="34">
        <v>0</v>
      </c>
      <c r="G59" s="59">
        <f t="shared" si="0"/>
        <v>1.0572941666666666</v>
      </c>
      <c r="H59" s="63">
        <f t="shared" si="1"/>
        <v>1.0564955555555557</v>
      </c>
      <c r="I59" s="65"/>
    </row>
    <row r="60" spans="1:9" x14ac:dyDescent="0.3">
      <c r="A60" s="33">
        <v>45995.398784722223</v>
      </c>
      <c r="B60" s="34">
        <v>590</v>
      </c>
      <c r="C60" s="34">
        <v>1.105</v>
      </c>
      <c r="D60" s="34">
        <v>379.76339999999999</v>
      </c>
      <c r="E60" s="34">
        <v>419.98718000000002</v>
      </c>
      <c r="F60" s="34">
        <v>0</v>
      </c>
      <c r="G60" s="59">
        <f t="shared" si="0"/>
        <v>1.0556622222222223</v>
      </c>
      <c r="H60" s="63">
        <f t="shared" si="1"/>
        <v>1.0548983333333333</v>
      </c>
      <c r="I60" s="65"/>
    </row>
    <row r="61" spans="1:9" x14ac:dyDescent="0.3">
      <c r="A61" s="33">
        <v>45995.398900462962</v>
      </c>
      <c r="B61" s="34">
        <v>600</v>
      </c>
      <c r="C61" s="34">
        <v>1.1036999999999999</v>
      </c>
      <c r="D61" s="34">
        <v>379.21339999999998</v>
      </c>
      <c r="E61" s="34">
        <v>418.73721</v>
      </c>
      <c r="F61" s="34">
        <v>0</v>
      </c>
      <c r="G61" s="59">
        <f t="shared" si="0"/>
        <v>1.0541344444444443</v>
      </c>
      <c r="H61" s="63">
        <f t="shared" si="1"/>
        <v>1.0533937037037036</v>
      </c>
      <c r="I61" s="65"/>
    </row>
    <row r="62" spans="1:9" x14ac:dyDescent="0.3">
      <c r="A62" s="33">
        <v>45995.399016203701</v>
      </c>
      <c r="B62" s="34">
        <v>610</v>
      </c>
      <c r="C62" s="34">
        <v>1.1012</v>
      </c>
      <c r="D62" s="34">
        <v>378.6884</v>
      </c>
      <c r="E62" s="34">
        <v>416.86227000000002</v>
      </c>
      <c r="F62" s="34">
        <v>0</v>
      </c>
      <c r="G62" s="59">
        <f t="shared" si="0"/>
        <v>1.0526413888888888</v>
      </c>
      <c r="H62" s="63">
        <f t="shared" si="1"/>
        <v>1.0519353703703704</v>
      </c>
      <c r="I62" s="65"/>
    </row>
    <row r="63" spans="1:9" x14ac:dyDescent="0.3">
      <c r="A63" s="33">
        <v>45995.399131944447</v>
      </c>
      <c r="B63" s="34">
        <v>620</v>
      </c>
      <c r="C63" s="34">
        <v>1.1000000000000001</v>
      </c>
      <c r="D63" s="34">
        <v>378.1884</v>
      </c>
      <c r="E63" s="34">
        <v>415.6123</v>
      </c>
      <c r="F63" s="34">
        <v>0</v>
      </c>
      <c r="G63" s="59">
        <f t="shared" si="0"/>
        <v>1.0512177777777778</v>
      </c>
      <c r="H63" s="63">
        <f t="shared" si="1"/>
        <v>1.050546574074074</v>
      </c>
      <c r="I63" s="65"/>
    </row>
    <row r="64" spans="1:9" x14ac:dyDescent="0.3">
      <c r="A64" s="33">
        <v>45995.399247685185</v>
      </c>
      <c r="B64" s="34">
        <v>630</v>
      </c>
      <c r="C64" s="34">
        <v>1.1000000000000001</v>
      </c>
      <c r="D64" s="34">
        <v>377.71350000000001</v>
      </c>
      <c r="E64" s="34">
        <v>415.6123</v>
      </c>
      <c r="F64" s="34">
        <v>0</v>
      </c>
      <c r="G64" s="59">
        <f t="shared" si="0"/>
        <v>1.0498637500000001</v>
      </c>
      <c r="H64" s="63">
        <f t="shared" si="1"/>
        <v>1.0492272222222223</v>
      </c>
      <c r="I64" s="65"/>
    </row>
    <row r="65" spans="1:9" x14ac:dyDescent="0.3">
      <c r="A65" s="33">
        <v>45995.399363425924</v>
      </c>
      <c r="B65" s="34">
        <v>640</v>
      </c>
      <c r="C65" s="34">
        <v>1.0987</v>
      </c>
      <c r="D65" s="34">
        <v>377.26350000000002</v>
      </c>
      <c r="E65" s="34">
        <v>414.36237</v>
      </c>
      <c r="F65" s="34">
        <v>0</v>
      </c>
      <c r="G65" s="59">
        <f t="shared" si="0"/>
        <v>1.0485791666666668</v>
      </c>
      <c r="H65" s="63">
        <f t="shared" si="1"/>
        <v>1.0479541666666665</v>
      </c>
      <c r="I65" s="65"/>
    </row>
    <row r="66" spans="1:9" x14ac:dyDescent="0.3">
      <c r="A66" s="33">
        <v>45995.39947916667</v>
      </c>
      <c r="B66" s="34">
        <v>650</v>
      </c>
      <c r="C66" s="34">
        <v>1.0962000000000001</v>
      </c>
      <c r="D66" s="34">
        <v>376.81349999999998</v>
      </c>
      <c r="E66" s="34">
        <v>413.11239999999998</v>
      </c>
      <c r="F66" s="34">
        <v>0</v>
      </c>
      <c r="G66" s="59">
        <f t="shared" si="0"/>
        <v>1.0473291666666666</v>
      </c>
      <c r="H66" s="63">
        <f t="shared" si="1"/>
        <v>0.69821944444444439</v>
      </c>
      <c r="I66" s="66">
        <f>(C72-C66)/(D66/1000)</f>
        <v>0.73325398373465922</v>
      </c>
    </row>
    <row r="67" spans="1:9" x14ac:dyDescent="0.3">
      <c r="A67" s="33">
        <v>45995.399594907409</v>
      </c>
      <c r="B67" s="34">
        <v>660</v>
      </c>
      <c r="C67" s="34">
        <v>1.3474999999999999</v>
      </c>
      <c r="D67" s="34">
        <v>0</v>
      </c>
      <c r="E67" s="34">
        <v>0</v>
      </c>
      <c r="F67" s="34">
        <v>1</v>
      </c>
      <c r="G67" s="59">
        <f t="shared" si="0"/>
        <v>0.52335208333333327</v>
      </c>
      <c r="H67" s="63">
        <f t="shared" si="1"/>
        <v>0.34890138888888889</v>
      </c>
      <c r="I67" s="65"/>
    </row>
    <row r="68" spans="1:9" x14ac:dyDescent="0.3">
      <c r="A68" s="33">
        <v>45995.399710648147</v>
      </c>
      <c r="B68" s="34">
        <v>670</v>
      </c>
      <c r="C68" s="34">
        <v>1.3574999999999999</v>
      </c>
      <c r="D68" s="34">
        <v>0</v>
      </c>
      <c r="E68" s="34">
        <v>0</v>
      </c>
      <c r="F68" s="34">
        <v>1</v>
      </c>
      <c r="G68" s="59">
        <f t="shared" si="0"/>
        <v>0</v>
      </c>
      <c r="H68" s="63">
        <f t="shared" si="1"/>
        <v>0</v>
      </c>
      <c r="I68" s="65"/>
    </row>
    <row r="69" spans="1:9" x14ac:dyDescent="0.3">
      <c r="A69" s="33">
        <v>45995.399826388886</v>
      </c>
      <c r="B69" s="34">
        <v>680</v>
      </c>
      <c r="C69" s="34">
        <v>1.3625</v>
      </c>
      <c r="D69" s="34">
        <v>0</v>
      </c>
      <c r="E69" s="34">
        <v>0</v>
      </c>
      <c r="F69" s="34">
        <v>1</v>
      </c>
      <c r="G69" s="59">
        <f t="shared" si="0"/>
        <v>0</v>
      </c>
      <c r="H69" s="63">
        <f t="shared" si="1"/>
        <v>0</v>
      </c>
      <c r="I69" s="65"/>
    </row>
    <row r="70" spans="1:9" x14ac:dyDescent="0.3">
      <c r="A70" s="33">
        <v>45995.399942129632</v>
      </c>
      <c r="B70" s="34">
        <v>690</v>
      </c>
      <c r="C70" s="34">
        <v>1.3662000000000001</v>
      </c>
      <c r="D70" s="34">
        <v>0</v>
      </c>
      <c r="E70" s="34">
        <v>0</v>
      </c>
      <c r="F70" s="34">
        <v>1</v>
      </c>
      <c r="G70" s="59">
        <f t="shared" si="0"/>
        <v>0</v>
      </c>
      <c r="H70" s="63">
        <f t="shared" si="1"/>
        <v>0</v>
      </c>
      <c r="I70" s="65"/>
    </row>
    <row r="71" spans="1:9" x14ac:dyDescent="0.3">
      <c r="A71" s="33">
        <v>45995.400057870371</v>
      </c>
      <c r="B71" s="34">
        <v>700</v>
      </c>
      <c r="C71" s="34">
        <v>1.37</v>
      </c>
      <c r="D71" s="34">
        <v>0</v>
      </c>
      <c r="E71" s="34">
        <v>0</v>
      </c>
      <c r="F71" s="34">
        <v>1</v>
      </c>
      <c r="G71" s="59">
        <f t="shared" si="0"/>
        <v>0</v>
      </c>
      <c r="H71" s="63">
        <f t="shared" si="1"/>
        <v>0</v>
      </c>
      <c r="I71" s="65"/>
    </row>
    <row r="72" spans="1:9" x14ac:dyDescent="0.3">
      <c r="A72" s="33">
        <v>45995.400173611109</v>
      </c>
      <c r="B72" s="34">
        <v>710</v>
      </c>
      <c r="C72" s="34">
        <v>1.3725000000000001</v>
      </c>
      <c r="D72" s="34">
        <v>0</v>
      </c>
      <c r="E72" s="34">
        <v>0</v>
      </c>
      <c r="F72" s="34">
        <v>1</v>
      </c>
      <c r="G72" s="59">
        <f t="shared" si="0"/>
        <v>0</v>
      </c>
      <c r="H72" s="63">
        <f t="shared" si="1"/>
        <v>0.35508175925925928</v>
      </c>
      <c r="I72" s="65"/>
    </row>
    <row r="73" spans="1:9" x14ac:dyDescent="0.3">
      <c r="A73" s="33">
        <v>45995.400289351855</v>
      </c>
      <c r="B73" s="34">
        <v>720</v>
      </c>
      <c r="C73" s="34">
        <v>1.1174999999999999</v>
      </c>
      <c r="D73" s="34">
        <v>383.48829999999998</v>
      </c>
      <c r="E73" s="34">
        <v>428.11194</v>
      </c>
      <c r="F73" s="34">
        <v>0</v>
      </c>
      <c r="G73" s="59">
        <f t="shared" si="0"/>
        <v>0.53262263888888883</v>
      </c>
      <c r="H73" s="63">
        <f t="shared" si="1"/>
        <v>0.7078025</v>
      </c>
      <c r="I73" s="66">
        <f>(C72-C73)/(D73/1000)</f>
        <v>0.66494857861374157</v>
      </c>
    </row>
    <row r="74" spans="1:9" x14ac:dyDescent="0.3">
      <c r="A74" s="33">
        <v>45995.400405092594</v>
      </c>
      <c r="B74" s="34">
        <v>730</v>
      </c>
      <c r="C74" s="34">
        <v>1.1100000000000001</v>
      </c>
      <c r="D74" s="34">
        <v>380.9384</v>
      </c>
      <c r="E74" s="34">
        <v>422.48712</v>
      </c>
      <c r="F74" s="34">
        <v>0</v>
      </c>
      <c r="G74" s="59">
        <f t="shared" ref="G74:G137" si="2">($B$2/3600)*((D74+D73)/2)</f>
        <v>1.0617037499999999</v>
      </c>
      <c r="H74" s="63">
        <f t="shared" ref="H74:H137" si="3">($B$2/3600)*(D73/3+D74/3+D75/3)</f>
        <v>1.0590417592592591</v>
      </c>
      <c r="I74" s="65"/>
    </row>
    <row r="75" spans="1:9" x14ac:dyDescent="0.3">
      <c r="A75" s="33">
        <v>45995.400520833333</v>
      </c>
      <c r="B75" s="34">
        <v>740</v>
      </c>
      <c r="C75" s="34">
        <v>1.1036999999999999</v>
      </c>
      <c r="D75" s="34">
        <v>379.33839999999998</v>
      </c>
      <c r="E75" s="34">
        <v>418.73721</v>
      </c>
      <c r="F75" s="34">
        <v>0</v>
      </c>
      <c r="G75" s="59">
        <f t="shared" si="2"/>
        <v>1.0559400000000001</v>
      </c>
      <c r="H75" s="63">
        <f t="shared" si="3"/>
        <v>1.0541344444444443</v>
      </c>
      <c r="I75" s="65"/>
    </row>
    <row r="76" spans="1:9" x14ac:dyDescent="0.3">
      <c r="A76" s="33">
        <v>45995.400636574072</v>
      </c>
      <c r="B76" s="34">
        <v>750</v>
      </c>
      <c r="C76" s="34">
        <v>1.1000000000000001</v>
      </c>
      <c r="D76" s="34">
        <v>378.1884</v>
      </c>
      <c r="E76" s="34">
        <v>415.6123</v>
      </c>
      <c r="F76" s="34">
        <v>0</v>
      </c>
      <c r="G76" s="59">
        <f t="shared" si="2"/>
        <v>1.0521205555555555</v>
      </c>
      <c r="H76" s="63">
        <f t="shared" si="3"/>
        <v>1.0507317592592591</v>
      </c>
      <c r="I76" s="65"/>
    </row>
    <row r="77" spans="1:9" x14ac:dyDescent="0.3">
      <c r="A77" s="33">
        <v>45995.400752314818</v>
      </c>
      <c r="B77" s="34">
        <v>760</v>
      </c>
      <c r="C77" s="34">
        <v>1.0974999999999999</v>
      </c>
      <c r="D77" s="34">
        <v>377.26350000000002</v>
      </c>
      <c r="E77" s="34">
        <v>413.73737</v>
      </c>
      <c r="F77" s="34">
        <v>0</v>
      </c>
      <c r="G77" s="59">
        <f t="shared" si="2"/>
        <v>1.04923875</v>
      </c>
      <c r="H77" s="63">
        <f t="shared" si="3"/>
        <v>1.0481161111111112</v>
      </c>
      <c r="I77" s="65"/>
    </row>
    <row r="78" spans="1:9" x14ac:dyDescent="0.3">
      <c r="A78" s="33">
        <v>45995.400868055556</v>
      </c>
      <c r="B78" s="34">
        <v>770</v>
      </c>
      <c r="C78" s="34">
        <v>1.095</v>
      </c>
      <c r="D78" s="34">
        <v>376.51350000000002</v>
      </c>
      <c r="E78" s="34">
        <v>412.48743000000002</v>
      </c>
      <c r="F78" s="34">
        <v>0</v>
      </c>
      <c r="G78" s="59">
        <f t="shared" si="2"/>
        <v>1.0469125000000001</v>
      </c>
      <c r="H78" s="63">
        <f t="shared" si="3"/>
        <v>1.0459402777777778</v>
      </c>
      <c r="I78" s="65"/>
    </row>
    <row r="79" spans="1:9" x14ac:dyDescent="0.3">
      <c r="A79" s="33">
        <v>45995.400983796295</v>
      </c>
      <c r="B79" s="34">
        <v>780</v>
      </c>
      <c r="C79" s="34">
        <v>1.0938000000000001</v>
      </c>
      <c r="D79" s="34">
        <v>375.83850000000001</v>
      </c>
      <c r="E79" s="34">
        <v>410.61246</v>
      </c>
      <c r="F79" s="34">
        <v>0</v>
      </c>
      <c r="G79" s="59">
        <f t="shared" si="2"/>
        <v>1.0449333333333335</v>
      </c>
      <c r="H79" s="63">
        <f t="shared" si="3"/>
        <v>1.0440652777777777</v>
      </c>
      <c r="I79" s="65"/>
    </row>
    <row r="80" spans="1:9" x14ac:dyDescent="0.3">
      <c r="A80" s="33">
        <v>45995.401099537034</v>
      </c>
      <c r="B80" s="34">
        <v>790</v>
      </c>
      <c r="C80" s="34">
        <v>1.0911999999999999</v>
      </c>
      <c r="D80" s="34">
        <v>375.23849999999999</v>
      </c>
      <c r="E80" s="34">
        <v>409.36252000000002</v>
      </c>
      <c r="F80" s="34">
        <v>0</v>
      </c>
      <c r="G80" s="59">
        <f t="shared" si="2"/>
        <v>1.0431625</v>
      </c>
      <c r="H80" s="63">
        <f t="shared" si="3"/>
        <v>1.0423987037037037</v>
      </c>
      <c r="I80" s="65"/>
    </row>
    <row r="81" spans="1:9" x14ac:dyDescent="0.3">
      <c r="A81" s="33">
        <v>45995.40121527778</v>
      </c>
      <c r="B81" s="34">
        <v>800</v>
      </c>
      <c r="C81" s="34">
        <v>1.0888</v>
      </c>
      <c r="D81" s="34">
        <v>374.71359999999999</v>
      </c>
      <c r="E81" s="34">
        <v>408.11255</v>
      </c>
      <c r="F81" s="34">
        <v>0</v>
      </c>
      <c r="G81" s="59">
        <f t="shared" si="2"/>
        <v>1.0416001388888889</v>
      </c>
      <c r="H81" s="63">
        <f t="shared" si="3"/>
        <v>1.0408941666666667</v>
      </c>
      <c r="I81" s="65"/>
    </row>
    <row r="82" spans="1:9" x14ac:dyDescent="0.3">
      <c r="A82" s="33">
        <v>45995.401331018518</v>
      </c>
      <c r="B82" s="34">
        <v>810</v>
      </c>
      <c r="C82" s="34">
        <v>1.0888</v>
      </c>
      <c r="D82" s="34">
        <v>374.21359999999999</v>
      </c>
      <c r="E82" s="34">
        <v>406.86257999999998</v>
      </c>
      <c r="F82" s="34">
        <v>0</v>
      </c>
      <c r="G82" s="59">
        <f t="shared" si="2"/>
        <v>1.0401766666666667</v>
      </c>
      <c r="H82" s="63">
        <f t="shared" si="3"/>
        <v>1.0395285185185186</v>
      </c>
      <c r="I82" s="65"/>
    </row>
    <row r="83" spans="1:9" x14ac:dyDescent="0.3">
      <c r="A83" s="33">
        <v>45995.401446759257</v>
      </c>
      <c r="B83" s="34">
        <v>820</v>
      </c>
      <c r="C83" s="34">
        <v>1.0862000000000001</v>
      </c>
      <c r="D83" s="34">
        <v>373.7636</v>
      </c>
      <c r="E83" s="34">
        <v>405.61261000000002</v>
      </c>
      <c r="F83" s="34">
        <v>0</v>
      </c>
      <c r="G83" s="59">
        <f t="shared" si="2"/>
        <v>1.0388572222222223</v>
      </c>
      <c r="H83" s="63">
        <f t="shared" si="3"/>
        <v>1.0382322222222222</v>
      </c>
      <c r="I83" s="65"/>
    </row>
    <row r="84" spans="1:9" x14ac:dyDescent="0.3">
      <c r="A84" s="33">
        <v>45995.401562500003</v>
      </c>
      <c r="B84" s="34">
        <v>830</v>
      </c>
      <c r="C84" s="34">
        <v>1.085</v>
      </c>
      <c r="D84" s="34">
        <v>373.31360000000001</v>
      </c>
      <c r="E84" s="34">
        <v>404.98764</v>
      </c>
      <c r="F84" s="34">
        <v>0</v>
      </c>
      <c r="G84" s="59">
        <f t="shared" si="2"/>
        <v>1.0376072222222221</v>
      </c>
      <c r="H84" s="63">
        <f t="shared" si="3"/>
        <v>1.0370053703703703</v>
      </c>
      <c r="I84" s="65"/>
    </row>
    <row r="85" spans="1:9" x14ac:dyDescent="0.3">
      <c r="A85" s="33">
        <v>45995.401678240742</v>
      </c>
      <c r="B85" s="34">
        <v>840</v>
      </c>
      <c r="C85" s="34">
        <v>1.0838000000000001</v>
      </c>
      <c r="D85" s="34">
        <v>372.8886</v>
      </c>
      <c r="E85" s="34">
        <v>404.36266999999998</v>
      </c>
      <c r="F85" s="34">
        <v>0</v>
      </c>
      <c r="G85" s="59">
        <f t="shared" si="2"/>
        <v>1.0363919444444445</v>
      </c>
      <c r="H85" s="63">
        <f t="shared" si="3"/>
        <v>1.0358016666666667</v>
      </c>
      <c r="I85" s="65"/>
    </row>
    <row r="86" spans="1:9" x14ac:dyDescent="0.3">
      <c r="A86" s="33">
        <v>45995.40179398148</v>
      </c>
      <c r="B86" s="34">
        <v>850</v>
      </c>
      <c r="C86" s="34">
        <v>1.0825</v>
      </c>
      <c r="D86" s="34">
        <v>372.46359999999999</v>
      </c>
      <c r="E86" s="34">
        <v>403.73766999999998</v>
      </c>
      <c r="F86" s="34">
        <v>0</v>
      </c>
      <c r="G86" s="59">
        <f t="shared" si="2"/>
        <v>1.035211388888889</v>
      </c>
      <c r="H86" s="63">
        <f t="shared" si="3"/>
        <v>1.0346674074074076</v>
      </c>
      <c r="I86" s="65"/>
    </row>
    <row r="87" spans="1:9" x14ac:dyDescent="0.3">
      <c r="A87" s="33">
        <v>45995.401909722219</v>
      </c>
      <c r="B87" s="34">
        <v>860</v>
      </c>
      <c r="C87" s="34">
        <v>1.0811999999999999</v>
      </c>
      <c r="D87" s="34">
        <v>372.08859999999999</v>
      </c>
      <c r="E87" s="34">
        <v>402.48773</v>
      </c>
      <c r="F87" s="34">
        <v>0</v>
      </c>
      <c r="G87" s="59">
        <f t="shared" si="2"/>
        <v>1.0341002777777777</v>
      </c>
      <c r="H87" s="63">
        <f t="shared" si="3"/>
        <v>1.0335795370370371</v>
      </c>
      <c r="I87" s="65"/>
    </row>
    <row r="88" spans="1:9" x14ac:dyDescent="0.3">
      <c r="A88" s="33">
        <v>45995.402025462965</v>
      </c>
      <c r="B88" s="34">
        <v>870</v>
      </c>
      <c r="C88" s="34">
        <v>1.08</v>
      </c>
      <c r="D88" s="34">
        <v>371.71370000000002</v>
      </c>
      <c r="E88" s="34">
        <v>401.23775999999998</v>
      </c>
      <c r="F88" s="34">
        <v>0</v>
      </c>
      <c r="G88" s="59">
        <f t="shared" si="2"/>
        <v>1.0330587500000001</v>
      </c>
      <c r="H88" s="63">
        <f t="shared" si="3"/>
        <v>1.0325610185185186</v>
      </c>
      <c r="I88" s="65"/>
    </row>
    <row r="89" spans="1:9" x14ac:dyDescent="0.3">
      <c r="A89" s="33">
        <v>45995.40215277778</v>
      </c>
      <c r="B89" s="34">
        <v>880</v>
      </c>
      <c r="C89" s="34">
        <v>1.08</v>
      </c>
      <c r="D89" s="34">
        <v>371.36360000000002</v>
      </c>
      <c r="E89" s="34">
        <v>401.23775999999998</v>
      </c>
      <c r="F89" s="34">
        <v>0</v>
      </c>
      <c r="G89" s="59">
        <f t="shared" si="2"/>
        <v>1.0320518055555556</v>
      </c>
      <c r="H89" s="63">
        <f t="shared" si="3"/>
        <v>1.0315657407407406</v>
      </c>
      <c r="I89" s="65"/>
    </row>
    <row r="90" spans="1:9" x14ac:dyDescent="0.3">
      <c r="A90" s="33">
        <v>45995.402268518519</v>
      </c>
      <c r="B90" s="34">
        <v>890</v>
      </c>
      <c r="C90" s="34">
        <v>1.0788</v>
      </c>
      <c r="D90" s="34">
        <v>371.01369999999997</v>
      </c>
      <c r="E90" s="34">
        <v>400.61275999999998</v>
      </c>
      <c r="F90" s="34">
        <v>0</v>
      </c>
      <c r="G90" s="59">
        <f t="shared" si="2"/>
        <v>1.0310795833333333</v>
      </c>
      <c r="H90" s="63">
        <f t="shared" si="3"/>
        <v>0.68738638888888881</v>
      </c>
      <c r="I90" s="66">
        <f>(C96-C90)/(D90/1000)</f>
        <v>0.74768128508462117</v>
      </c>
    </row>
    <row r="91" spans="1:9" x14ac:dyDescent="0.3">
      <c r="A91" s="33">
        <v>45995.402384259258</v>
      </c>
      <c r="B91" s="34">
        <v>900</v>
      </c>
      <c r="C91" s="34">
        <v>1.3288</v>
      </c>
      <c r="D91" s="34">
        <v>0</v>
      </c>
      <c r="E91" s="34">
        <v>0</v>
      </c>
      <c r="F91" s="34">
        <v>1</v>
      </c>
      <c r="G91" s="59">
        <f t="shared" si="2"/>
        <v>0.51529680555555557</v>
      </c>
      <c r="H91" s="63">
        <f t="shared" si="3"/>
        <v>0.34353120370370366</v>
      </c>
      <c r="I91" s="65"/>
    </row>
    <row r="92" spans="1:9" x14ac:dyDescent="0.3">
      <c r="A92" s="33">
        <v>45995.402499999997</v>
      </c>
      <c r="B92" s="34">
        <v>910</v>
      </c>
      <c r="C92" s="34">
        <v>1.3388</v>
      </c>
      <c r="D92" s="34">
        <v>0</v>
      </c>
      <c r="E92" s="34">
        <v>0</v>
      </c>
      <c r="F92" s="34">
        <v>1</v>
      </c>
      <c r="G92" s="59">
        <f t="shared" si="2"/>
        <v>0</v>
      </c>
      <c r="H92" s="63">
        <f t="shared" si="3"/>
        <v>0</v>
      </c>
      <c r="I92" s="65"/>
    </row>
    <row r="93" spans="1:9" x14ac:dyDescent="0.3">
      <c r="A93" s="33">
        <v>45995.402615740742</v>
      </c>
      <c r="B93" s="34">
        <v>920</v>
      </c>
      <c r="C93" s="34">
        <v>1.345</v>
      </c>
      <c r="D93" s="34">
        <v>0</v>
      </c>
      <c r="E93" s="34">
        <v>0</v>
      </c>
      <c r="F93" s="34">
        <v>1</v>
      </c>
      <c r="G93" s="59">
        <f t="shared" si="2"/>
        <v>0</v>
      </c>
      <c r="H93" s="63">
        <f t="shared" si="3"/>
        <v>0</v>
      </c>
      <c r="I93" s="65"/>
    </row>
    <row r="94" spans="1:9" x14ac:dyDescent="0.3">
      <c r="A94" s="33">
        <v>45995.402731481481</v>
      </c>
      <c r="B94" s="34">
        <v>930</v>
      </c>
      <c r="C94" s="34">
        <v>1.3487</v>
      </c>
      <c r="D94" s="34">
        <v>0</v>
      </c>
      <c r="E94" s="34">
        <v>0</v>
      </c>
      <c r="F94" s="34">
        <v>1</v>
      </c>
      <c r="G94" s="59">
        <f t="shared" si="2"/>
        <v>0</v>
      </c>
      <c r="H94" s="63">
        <f t="shared" si="3"/>
        <v>0</v>
      </c>
      <c r="I94" s="65"/>
    </row>
    <row r="95" spans="1:9" x14ac:dyDescent="0.3">
      <c r="A95" s="33">
        <v>45995.40284722222</v>
      </c>
      <c r="B95" s="34">
        <v>940</v>
      </c>
      <c r="C95" s="34">
        <v>1.3525</v>
      </c>
      <c r="D95" s="34">
        <v>0</v>
      </c>
      <c r="E95" s="34">
        <v>0</v>
      </c>
      <c r="F95" s="34">
        <v>1</v>
      </c>
      <c r="G95" s="59">
        <f t="shared" si="2"/>
        <v>0</v>
      </c>
      <c r="H95" s="63">
        <f t="shared" si="3"/>
        <v>0</v>
      </c>
      <c r="I95" s="65"/>
    </row>
    <row r="96" spans="1:9" x14ac:dyDescent="0.3">
      <c r="A96" s="33">
        <v>45995.402962962966</v>
      </c>
      <c r="B96" s="34">
        <v>950</v>
      </c>
      <c r="C96" s="34">
        <v>1.3562000000000001</v>
      </c>
      <c r="D96" s="34">
        <v>0</v>
      </c>
      <c r="E96" s="34">
        <v>0</v>
      </c>
      <c r="F96" s="34">
        <v>1</v>
      </c>
      <c r="G96" s="59">
        <f t="shared" si="2"/>
        <v>0</v>
      </c>
      <c r="H96" s="63">
        <f t="shared" si="3"/>
        <v>0.34989675925925928</v>
      </c>
      <c r="I96" s="65"/>
    </row>
    <row r="97" spans="1:9" x14ac:dyDescent="0.3">
      <c r="A97" s="33">
        <v>45995.403078703705</v>
      </c>
      <c r="B97" s="34">
        <v>960</v>
      </c>
      <c r="C97" s="34">
        <v>1.0987</v>
      </c>
      <c r="D97" s="34">
        <v>377.88850000000002</v>
      </c>
      <c r="E97" s="34">
        <v>414.98734000000002</v>
      </c>
      <c r="F97" s="34">
        <v>0</v>
      </c>
      <c r="G97" s="59">
        <f t="shared" si="2"/>
        <v>0.52484513888888895</v>
      </c>
      <c r="H97" s="63">
        <f t="shared" si="3"/>
        <v>0.69747870370370368</v>
      </c>
      <c r="I97" s="66">
        <f>(C96-C97)/(D97/1000)</f>
        <v>0.68141793147978846</v>
      </c>
    </row>
    <row r="98" spans="1:9" x14ac:dyDescent="0.3">
      <c r="A98" s="33">
        <v>45995.403194444443</v>
      </c>
      <c r="B98" s="34">
        <v>970</v>
      </c>
      <c r="C98" s="34">
        <v>1.0911999999999999</v>
      </c>
      <c r="D98" s="34">
        <v>375.38850000000002</v>
      </c>
      <c r="E98" s="34">
        <v>409.36252000000002</v>
      </c>
      <c r="F98" s="34">
        <v>0</v>
      </c>
      <c r="G98" s="59">
        <f t="shared" si="2"/>
        <v>1.0462180555555556</v>
      </c>
      <c r="H98" s="63">
        <f t="shared" si="3"/>
        <v>1.0436255555555556</v>
      </c>
      <c r="I98" s="65"/>
    </row>
    <row r="99" spans="1:9" x14ac:dyDescent="0.3">
      <c r="A99" s="33">
        <v>45995.403310185182</v>
      </c>
      <c r="B99" s="34">
        <v>980</v>
      </c>
      <c r="C99" s="34">
        <v>1.0862000000000001</v>
      </c>
      <c r="D99" s="34">
        <v>373.83859999999999</v>
      </c>
      <c r="E99" s="34">
        <v>406.23761000000002</v>
      </c>
      <c r="F99" s="34">
        <v>0</v>
      </c>
      <c r="G99" s="59">
        <f t="shared" si="2"/>
        <v>1.0405931944444446</v>
      </c>
      <c r="H99" s="63">
        <f t="shared" si="3"/>
        <v>1.0388802777777777</v>
      </c>
      <c r="I99" s="65"/>
    </row>
    <row r="100" spans="1:9" x14ac:dyDescent="0.3">
      <c r="A100" s="33">
        <v>45995.403425925928</v>
      </c>
      <c r="B100" s="34">
        <v>990</v>
      </c>
      <c r="C100" s="34">
        <v>1.0838000000000001</v>
      </c>
      <c r="D100" s="34">
        <v>372.7636</v>
      </c>
      <c r="E100" s="34">
        <v>403.73766999999998</v>
      </c>
      <c r="F100" s="34">
        <v>0</v>
      </c>
      <c r="G100" s="59">
        <f t="shared" si="2"/>
        <v>1.0369475000000001</v>
      </c>
      <c r="H100" s="63">
        <f t="shared" si="3"/>
        <v>1.0356164814814814</v>
      </c>
      <c r="I100" s="65"/>
    </row>
    <row r="101" spans="1:9" x14ac:dyDescent="0.3">
      <c r="A101" s="33">
        <v>45995.403541666667</v>
      </c>
      <c r="B101" s="34">
        <v>1000</v>
      </c>
      <c r="C101" s="34">
        <v>1.08</v>
      </c>
      <c r="D101" s="34">
        <v>371.86360000000002</v>
      </c>
      <c r="E101" s="34">
        <v>401.23775999999998</v>
      </c>
      <c r="F101" s="34">
        <v>0</v>
      </c>
      <c r="G101" s="59">
        <f t="shared" si="2"/>
        <v>1.0342044444444445</v>
      </c>
      <c r="H101" s="63">
        <f t="shared" si="3"/>
        <v>1.0331165740740742</v>
      </c>
      <c r="I101" s="65"/>
    </row>
    <row r="102" spans="1:9" x14ac:dyDescent="0.3">
      <c r="A102" s="33">
        <v>45995.403657407405</v>
      </c>
      <c r="B102" s="34">
        <v>1010</v>
      </c>
      <c r="C102" s="34">
        <v>1.0774999999999999</v>
      </c>
      <c r="D102" s="34">
        <v>371.13869999999997</v>
      </c>
      <c r="E102" s="34">
        <v>399.98779000000002</v>
      </c>
      <c r="F102" s="34">
        <v>0</v>
      </c>
      <c r="G102" s="59">
        <f t="shared" si="2"/>
        <v>1.0319476388888889</v>
      </c>
      <c r="H102" s="63">
        <f t="shared" si="3"/>
        <v>1.0310564814814815</v>
      </c>
      <c r="I102" s="65"/>
    </row>
    <row r="103" spans="1:9" x14ac:dyDescent="0.3">
      <c r="A103" s="33">
        <v>45995.403773148151</v>
      </c>
      <c r="B103" s="34">
        <v>1020</v>
      </c>
      <c r="C103" s="34">
        <v>1.0774999999999999</v>
      </c>
      <c r="D103" s="34">
        <v>370.53870000000001</v>
      </c>
      <c r="E103" s="34">
        <v>398.73782</v>
      </c>
      <c r="F103" s="34">
        <v>0</v>
      </c>
      <c r="G103" s="59">
        <f t="shared" si="2"/>
        <v>1.0301075000000002</v>
      </c>
      <c r="H103" s="63">
        <f t="shared" si="3"/>
        <v>1.0292741666666667</v>
      </c>
      <c r="I103" s="65"/>
    </row>
    <row r="104" spans="1:9" x14ac:dyDescent="0.3">
      <c r="A104" s="33">
        <v>45995.40388888889</v>
      </c>
      <c r="B104" s="34">
        <v>1030</v>
      </c>
      <c r="C104" s="34">
        <v>1.075</v>
      </c>
      <c r="D104" s="34">
        <v>369.93869999999998</v>
      </c>
      <c r="E104" s="34">
        <v>397.48784999999998</v>
      </c>
      <c r="F104" s="34">
        <v>0</v>
      </c>
      <c r="G104" s="59">
        <f t="shared" si="2"/>
        <v>1.0284408333333332</v>
      </c>
      <c r="H104" s="63">
        <f t="shared" si="3"/>
        <v>1.0277232407407408</v>
      </c>
      <c r="I104" s="65"/>
    </row>
    <row r="105" spans="1:9" x14ac:dyDescent="0.3">
      <c r="A105" s="33">
        <v>45995.404004629629</v>
      </c>
      <c r="B105" s="34">
        <v>1040</v>
      </c>
      <c r="C105" s="34">
        <v>1.0738000000000001</v>
      </c>
      <c r="D105" s="34">
        <v>369.46370000000002</v>
      </c>
      <c r="E105" s="34">
        <v>396.23791999999997</v>
      </c>
      <c r="F105" s="34">
        <v>0</v>
      </c>
      <c r="G105" s="59">
        <f t="shared" si="2"/>
        <v>1.0269477777777778</v>
      </c>
      <c r="H105" s="63">
        <f t="shared" si="3"/>
        <v>1.0263112037037039</v>
      </c>
      <c r="I105" s="65"/>
    </row>
    <row r="106" spans="1:9" x14ac:dyDescent="0.3">
      <c r="A106" s="33">
        <v>45995.404120370367</v>
      </c>
      <c r="B106" s="34">
        <v>1050</v>
      </c>
      <c r="C106" s="34">
        <v>1.0725</v>
      </c>
      <c r="D106" s="34">
        <v>369.01369999999997</v>
      </c>
      <c r="E106" s="34">
        <v>394.98795000000001</v>
      </c>
      <c r="F106" s="34">
        <v>0</v>
      </c>
      <c r="G106" s="59">
        <f t="shared" si="2"/>
        <v>1.0256630555555555</v>
      </c>
      <c r="H106" s="63">
        <f t="shared" si="3"/>
        <v>1.0250612037037039</v>
      </c>
      <c r="I106" s="65"/>
    </row>
    <row r="107" spans="1:9" x14ac:dyDescent="0.3">
      <c r="A107" s="33">
        <v>45995.404236111113</v>
      </c>
      <c r="B107" s="34">
        <v>1060</v>
      </c>
      <c r="C107" s="34">
        <v>1.07</v>
      </c>
      <c r="D107" s="34">
        <v>368.58870000000002</v>
      </c>
      <c r="E107" s="34">
        <v>394.36297999999999</v>
      </c>
      <c r="F107" s="34">
        <v>0</v>
      </c>
      <c r="G107" s="59">
        <f t="shared" si="2"/>
        <v>1.0244477777777778</v>
      </c>
      <c r="H107" s="63">
        <f t="shared" si="3"/>
        <v>1.0238575925925926</v>
      </c>
      <c r="I107" s="65"/>
    </row>
    <row r="108" spans="1:9" x14ac:dyDescent="0.3">
      <c r="A108" s="33">
        <v>45995.404351851852</v>
      </c>
      <c r="B108" s="34">
        <v>1070</v>
      </c>
      <c r="C108" s="34">
        <v>1.07</v>
      </c>
      <c r="D108" s="34">
        <v>368.16379999999998</v>
      </c>
      <c r="E108" s="34">
        <v>394.36297999999999</v>
      </c>
      <c r="F108" s="34">
        <v>0</v>
      </c>
      <c r="G108" s="59">
        <f t="shared" si="2"/>
        <v>1.0232673611111112</v>
      </c>
      <c r="H108" s="63">
        <f t="shared" si="3"/>
        <v>1.0227234259259259</v>
      </c>
      <c r="I108" s="65"/>
    </row>
    <row r="109" spans="1:9" x14ac:dyDescent="0.3">
      <c r="A109" s="33">
        <v>45995.404467592591</v>
      </c>
      <c r="B109" s="34">
        <v>1080</v>
      </c>
      <c r="C109" s="34">
        <v>1.0688</v>
      </c>
      <c r="D109" s="34">
        <v>367.78879999999998</v>
      </c>
      <c r="E109" s="34">
        <v>393.11300999999997</v>
      </c>
      <c r="F109" s="34">
        <v>0</v>
      </c>
      <c r="G109" s="59">
        <f t="shared" si="2"/>
        <v>1.0221563888888889</v>
      </c>
      <c r="H109" s="63">
        <f t="shared" si="3"/>
        <v>1.0216355555555556</v>
      </c>
      <c r="I109" s="65"/>
    </row>
    <row r="110" spans="1:9" x14ac:dyDescent="0.3">
      <c r="A110" s="33">
        <v>45995.404583333337</v>
      </c>
      <c r="B110" s="34">
        <v>1090</v>
      </c>
      <c r="C110" s="34">
        <v>1.0674999999999999</v>
      </c>
      <c r="D110" s="34">
        <v>367.41379999999998</v>
      </c>
      <c r="E110" s="34">
        <v>392.48804000000001</v>
      </c>
      <c r="F110" s="34">
        <v>0</v>
      </c>
      <c r="G110" s="59">
        <f t="shared" si="2"/>
        <v>1.0211147222222221</v>
      </c>
      <c r="H110" s="63">
        <f t="shared" si="3"/>
        <v>1.0205938888888888</v>
      </c>
      <c r="I110" s="65"/>
    </row>
    <row r="111" spans="1:9" x14ac:dyDescent="0.3">
      <c r="A111" s="33">
        <v>45995.404699074075</v>
      </c>
      <c r="B111" s="34">
        <v>1100</v>
      </c>
      <c r="C111" s="34">
        <v>1.0662</v>
      </c>
      <c r="D111" s="34">
        <v>367.03879999999998</v>
      </c>
      <c r="E111" s="34">
        <v>391.23806999999999</v>
      </c>
      <c r="F111" s="34">
        <v>0</v>
      </c>
      <c r="G111" s="59">
        <f t="shared" si="2"/>
        <v>1.0200730555555555</v>
      </c>
      <c r="H111" s="63">
        <f t="shared" si="3"/>
        <v>1.0195985185185186</v>
      </c>
      <c r="I111" s="65"/>
    </row>
    <row r="112" spans="1:9" x14ac:dyDescent="0.3">
      <c r="A112" s="33">
        <v>45995.404814814814</v>
      </c>
      <c r="B112" s="34">
        <v>1110</v>
      </c>
      <c r="C112" s="34">
        <v>1.0649999999999999</v>
      </c>
      <c r="D112" s="34">
        <v>366.71379999999999</v>
      </c>
      <c r="E112" s="34">
        <v>389.98809999999997</v>
      </c>
      <c r="F112" s="34">
        <v>0</v>
      </c>
      <c r="G112" s="59">
        <f t="shared" si="2"/>
        <v>1.0191008333333333</v>
      </c>
      <c r="H112" s="63">
        <f t="shared" si="3"/>
        <v>1.0186494444444445</v>
      </c>
      <c r="I112" s="65"/>
    </row>
    <row r="113" spans="1:9" x14ac:dyDescent="0.3">
      <c r="A113" s="33">
        <v>45995.404930555553</v>
      </c>
      <c r="B113" s="34">
        <v>1120</v>
      </c>
      <c r="C113" s="34">
        <v>1.0638000000000001</v>
      </c>
      <c r="D113" s="34">
        <v>366.3888</v>
      </c>
      <c r="E113" s="34">
        <v>389.98809999999997</v>
      </c>
      <c r="F113" s="34">
        <v>0</v>
      </c>
      <c r="G113" s="59">
        <f t="shared" si="2"/>
        <v>1.0181980555555554</v>
      </c>
      <c r="H113" s="63">
        <f t="shared" si="3"/>
        <v>1.0177466666666668</v>
      </c>
      <c r="I113" s="65"/>
    </row>
    <row r="114" spans="1:9" x14ac:dyDescent="0.3">
      <c r="A114" s="33">
        <v>45995.405046296299</v>
      </c>
      <c r="B114" s="34">
        <v>1130</v>
      </c>
      <c r="C114" s="34">
        <v>1.0638000000000001</v>
      </c>
      <c r="D114" s="34">
        <v>366.06380000000001</v>
      </c>
      <c r="E114" s="34">
        <v>389.36313000000001</v>
      </c>
      <c r="F114" s="34">
        <v>0</v>
      </c>
      <c r="G114" s="59">
        <f t="shared" si="2"/>
        <v>1.017295277777778</v>
      </c>
      <c r="H114" s="63">
        <f t="shared" si="3"/>
        <v>0.67819685185185186</v>
      </c>
      <c r="I114" s="66">
        <f>(C120-C114)/(D114/1000)</f>
        <v>0.75451328429634401</v>
      </c>
    </row>
    <row r="115" spans="1:9" x14ac:dyDescent="0.3">
      <c r="A115" s="33">
        <v>45995.405162037037</v>
      </c>
      <c r="B115" s="34">
        <v>1140</v>
      </c>
      <c r="C115" s="34">
        <v>1.3149999999999999</v>
      </c>
      <c r="D115" s="34">
        <v>0</v>
      </c>
      <c r="E115" s="34">
        <v>0</v>
      </c>
      <c r="F115" s="34">
        <v>1</v>
      </c>
      <c r="G115" s="59">
        <f t="shared" si="2"/>
        <v>0.50842194444444444</v>
      </c>
      <c r="H115" s="63">
        <f t="shared" si="3"/>
        <v>0.33894796296296298</v>
      </c>
      <c r="I115" s="65"/>
    </row>
    <row r="116" spans="1:9" x14ac:dyDescent="0.3">
      <c r="A116" s="33">
        <v>45995.405277777776</v>
      </c>
      <c r="B116" s="34">
        <v>1150</v>
      </c>
      <c r="C116" s="34">
        <v>1.3238000000000001</v>
      </c>
      <c r="D116" s="34">
        <v>0</v>
      </c>
      <c r="E116" s="34">
        <v>0</v>
      </c>
      <c r="F116" s="34">
        <v>1</v>
      </c>
      <c r="G116" s="59">
        <f t="shared" si="2"/>
        <v>0</v>
      </c>
      <c r="H116" s="63">
        <f t="shared" si="3"/>
        <v>0</v>
      </c>
      <c r="I116" s="65"/>
    </row>
    <row r="117" spans="1:9" x14ac:dyDescent="0.3">
      <c r="A117" s="33">
        <v>45995.405393518522</v>
      </c>
      <c r="B117" s="34">
        <v>1160</v>
      </c>
      <c r="C117" s="34">
        <v>1.33</v>
      </c>
      <c r="D117" s="34">
        <v>0</v>
      </c>
      <c r="E117" s="34">
        <v>0</v>
      </c>
      <c r="F117" s="34">
        <v>1</v>
      </c>
      <c r="G117" s="59">
        <f t="shared" si="2"/>
        <v>0</v>
      </c>
      <c r="H117" s="63">
        <f t="shared" si="3"/>
        <v>0</v>
      </c>
      <c r="I117" s="65"/>
    </row>
    <row r="118" spans="1:9" x14ac:dyDescent="0.3">
      <c r="A118" s="33">
        <v>45995.405509259261</v>
      </c>
      <c r="B118" s="34">
        <v>1170</v>
      </c>
      <c r="C118" s="34">
        <v>1.335</v>
      </c>
      <c r="D118" s="34">
        <v>0</v>
      </c>
      <c r="E118" s="34">
        <v>0</v>
      </c>
      <c r="F118" s="34">
        <v>1</v>
      </c>
      <c r="G118" s="59">
        <f t="shared" si="2"/>
        <v>0</v>
      </c>
      <c r="H118" s="63">
        <f t="shared" si="3"/>
        <v>0</v>
      </c>
      <c r="I118" s="65"/>
    </row>
    <row r="119" spans="1:9" x14ac:dyDescent="0.3">
      <c r="A119" s="33">
        <v>45995.405624999999</v>
      </c>
      <c r="B119" s="34">
        <v>1180</v>
      </c>
      <c r="C119" s="34">
        <v>1.3388</v>
      </c>
      <c r="D119" s="34">
        <v>0</v>
      </c>
      <c r="E119" s="34">
        <v>0</v>
      </c>
      <c r="F119" s="34">
        <v>1</v>
      </c>
      <c r="G119" s="59">
        <f t="shared" si="2"/>
        <v>0</v>
      </c>
      <c r="H119" s="63">
        <f t="shared" si="3"/>
        <v>0</v>
      </c>
      <c r="I119" s="65"/>
    </row>
    <row r="120" spans="1:9" x14ac:dyDescent="0.3">
      <c r="A120" s="33">
        <v>45995.405740740738</v>
      </c>
      <c r="B120" s="34">
        <v>1190</v>
      </c>
      <c r="C120" s="34">
        <v>1.34</v>
      </c>
      <c r="D120" s="34">
        <v>0</v>
      </c>
      <c r="E120" s="34">
        <v>0</v>
      </c>
      <c r="F120" s="34">
        <v>1</v>
      </c>
      <c r="G120" s="59">
        <f t="shared" si="2"/>
        <v>0</v>
      </c>
      <c r="H120" s="63">
        <f t="shared" si="3"/>
        <v>0.34554500000000005</v>
      </c>
      <c r="I120" s="65"/>
    </row>
    <row r="121" spans="1:9" x14ac:dyDescent="0.3">
      <c r="A121" s="33">
        <v>45995.405856481484</v>
      </c>
      <c r="B121" s="34">
        <v>1200</v>
      </c>
      <c r="C121" s="34">
        <v>1.085</v>
      </c>
      <c r="D121" s="34">
        <v>373.18860000000001</v>
      </c>
      <c r="E121" s="34">
        <v>404.36266999999998</v>
      </c>
      <c r="F121" s="34">
        <v>0</v>
      </c>
      <c r="G121" s="59">
        <f t="shared" si="2"/>
        <v>0.51831749999999999</v>
      </c>
      <c r="H121" s="63">
        <f t="shared" si="3"/>
        <v>0.68872898148148154</v>
      </c>
      <c r="I121" s="66">
        <f>(C120-C121)/(D121/1000)</f>
        <v>0.68330061529210728</v>
      </c>
    </row>
    <row r="122" spans="1:9" x14ac:dyDescent="0.3">
      <c r="A122" s="33">
        <v>45995.405972222223</v>
      </c>
      <c r="B122" s="34">
        <v>1210</v>
      </c>
      <c r="C122" s="34">
        <v>1.0788</v>
      </c>
      <c r="D122" s="34">
        <v>370.63869999999997</v>
      </c>
      <c r="E122" s="34">
        <v>399.36282</v>
      </c>
      <c r="F122" s="34">
        <v>0</v>
      </c>
      <c r="G122" s="59">
        <f t="shared" si="2"/>
        <v>1.0330934722222223</v>
      </c>
      <c r="H122" s="63">
        <f t="shared" si="3"/>
        <v>1.0305472222222223</v>
      </c>
      <c r="I122" s="65"/>
    </row>
    <row r="123" spans="1:9" x14ac:dyDescent="0.3">
      <c r="A123" s="33">
        <v>45995.406087962961</v>
      </c>
      <c r="B123" s="34">
        <v>1220</v>
      </c>
      <c r="C123" s="34">
        <v>1.0725</v>
      </c>
      <c r="D123" s="34">
        <v>369.16370000000001</v>
      </c>
      <c r="E123" s="34">
        <v>396.23791999999997</v>
      </c>
      <c r="F123" s="34">
        <v>0</v>
      </c>
      <c r="G123" s="59">
        <f t="shared" si="2"/>
        <v>1.0275033333333334</v>
      </c>
      <c r="H123" s="63">
        <f t="shared" si="3"/>
        <v>1.0258020370370371</v>
      </c>
      <c r="I123" s="65"/>
    </row>
    <row r="124" spans="1:9" x14ac:dyDescent="0.3">
      <c r="A124" s="33">
        <v>45995.4062037037</v>
      </c>
      <c r="B124" s="34">
        <v>1230</v>
      </c>
      <c r="C124" s="34">
        <v>1.07</v>
      </c>
      <c r="D124" s="34">
        <v>368.06380000000001</v>
      </c>
      <c r="E124" s="34">
        <v>394.36297999999999</v>
      </c>
      <c r="F124" s="34">
        <v>0</v>
      </c>
      <c r="G124" s="59">
        <f t="shared" si="2"/>
        <v>1.0239270833333334</v>
      </c>
      <c r="H124" s="63">
        <f t="shared" si="3"/>
        <v>1.0226308333333334</v>
      </c>
      <c r="I124" s="65"/>
    </row>
    <row r="125" spans="1:9" x14ac:dyDescent="0.3">
      <c r="A125" s="33">
        <v>45995.406319444446</v>
      </c>
      <c r="B125" s="34">
        <v>1240</v>
      </c>
      <c r="C125" s="34">
        <v>1.0662</v>
      </c>
      <c r="D125" s="34">
        <v>367.21379999999999</v>
      </c>
      <c r="E125" s="34">
        <v>391.86304000000001</v>
      </c>
      <c r="F125" s="34">
        <v>0</v>
      </c>
      <c r="G125" s="59">
        <f t="shared" si="2"/>
        <v>1.0212188888888889</v>
      </c>
      <c r="H125" s="63">
        <f t="shared" si="3"/>
        <v>1.0201772222222223</v>
      </c>
      <c r="I125" s="65"/>
    </row>
    <row r="126" spans="1:9" x14ac:dyDescent="0.3">
      <c r="A126" s="33">
        <v>45995.406435185185</v>
      </c>
      <c r="B126" s="34">
        <v>1250</v>
      </c>
      <c r="C126" s="34">
        <v>1.0638000000000001</v>
      </c>
      <c r="D126" s="34">
        <v>366.5138</v>
      </c>
      <c r="E126" s="34">
        <v>389.98809999999997</v>
      </c>
      <c r="F126" s="34">
        <v>0</v>
      </c>
      <c r="G126" s="59">
        <f t="shared" si="2"/>
        <v>1.019066111111111</v>
      </c>
      <c r="H126" s="63">
        <f t="shared" si="3"/>
        <v>1.0181633333333335</v>
      </c>
      <c r="I126" s="65"/>
    </row>
    <row r="127" spans="1:9" x14ac:dyDescent="0.3">
      <c r="A127" s="33">
        <v>45995.406550925924</v>
      </c>
      <c r="B127" s="34">
        <v>1260</v>
      </c>
      <c r="C127" s="34">
        <v>1.0625</v>
      </c>
      <c r="D127" s="34">
        <v>365.8888</v>
      </c>
      <c r="E127" s="34">
        <v>388.73813000000001</v>
      </c>
      <c r="F127" s="34">
        <v>0</v>
      </c>
      <c r="G127" s="59">
        <f t="shared" si="2"/>
        <v>1.0172258333333333</v>
      </c>
      <c r="H127" s="63">
        <f t="shared" si="3"/>
        <v>1.0164735185185185</v>
      </c>
      <c r="I127" s="65"/>
    </row>
    <row r="128" spans="1:9" x14ac:dyDescent="0.3">
      <c r="A128" s="33">
        <v>45995.406666666669</v>
      </c>
      <c r="B128" s="34">
        <v>1270</v>
      </c>
      <c r="C128" s="34">
        <v>1.06</v>
      </c>
      <c r="D128" s="34">
        <v>365.3888</v>
      </c>
      <c r="E128" s="34">
        <v>386.86318999999997</v>
      </c>
      <c r="F128" s="34">
        <v>0</v>
      </c>
      <c r="G128" s="59">
        <f t="shared" si="2"/>
        <v>1.0156633333333334</v>
      </c>
      <c r="H128" s="63">
        <f t="shared" si="3"/>
        <v>1.0149689814814815</v>
      </c>
      <c r="I128" s="65"/>
    </row>
    <row r="129" spans="1:9" x14ac:dyDescent="0.3">
      <c r="A129" s="33">
        <v>45995.406782407408</v>
      </c>
      <c r="B129" s="34">
        <v>1280</v>
      </c>
      <c r="C129" s="34">
        <v>1.06</v>
      </c>
      <c r="D129" s="34">
        <v>364.88889999999998</v>
      </c>
      <c r="E129" s="34">
        <v>386.86318999999997</v>
      </c>
      <c r="F129" s="34">
        <v>0</v>
      </c>
      <c r="G129" s="59">
        <f t="shared" si="2"/>
        <v>1.0142745833333333</v>
      </c>
      <c r="H129" s="63">
        <f t="shared" si="3"/>
        <v>1.0136496296296298</v>
      </c>
      <c r="I129" s="65"/>
    </row>
    <row r="130" spans="1:9" x14ac:dyDescent="0.3">
      <c r="A130" s="33">
        <v>45995.406898148147</v>
      </c>
      <c r="B130" s="34">
        <v>1290</v>
      </c>
      <c r="C130" s="34">
        <v>1.0588</v>
      </c>
      <c r="D130" s="34">
        <v>364.46390000000002</v>
      </c>
      <c r="E130" s="34">
        <v>386.23822000000001</v>
      </c>
      <c r="F130" s="34">
        <v>0</v>
      </c>
      <c r="G130" s="59">
        <f t="shared" si="2"/>
        <v>1.0129900000000001</v>
      </c>
      <c r="H130" s="63">
        <f t="shared" si="3"/>
        <v>1.0124228703703704</v>
      </c>
      <c r="I130" s="65"/>
    </row>
    <row r="131" spans="1:9" x14ac:dyDescent="0.3">
      <c r="A131" s="33">
        <v>45995.407013888886</v>
      </c>
      <c r="B131" s="34">
        <v>1300</v>
      </c>
      <c r="C131" s="34">
        <v>1.0562</v>
      </c>
      <c r="D131" s="34">
        <v>364.06389999999999</v>
      </c>
      <c r="E131" s="34">
        <v>384.36327999999997</v>
      </c>
      <c r="F131" s="34">
        <v>0</v>
      </c>
      <c r="G131" s="59">
        <f t="shared" si="2"/>
        <v>1.0118441666666669</v>
      </c>
      <c r="H131" s="63">
        <f t="shared" si="3"/>
        <v>1.011288611111111</v>
      </c>
      <c r="I131" s="65"/>
    </row>
    <row r="132" spans="1:9" x14ac:dyDescent="0.3">
      <c r="A132" s="33">
        <v>45995.407129629632</v>
      </c>
      <c r="B132" s="34">
        <v>1310</v>
      </c>
      <c r="C132" s="34">
        <v>1.0562</v>
      </c>
      <c r="D132" s="34">
        <v>363.66390000000001</v>
      </c>
      <c r="E132" s="34">
        <v>383.73827999999997</v>
      </c>
      <c r="F132" s="34">
        <v>0</v>
      </c>
      <c r="G132" s="59">
        <f t="shared" si="2"/>
        <v>1.0107330555555556</v>
      </c>
      <c r="H132" s="63">
        <f t="shared" si="3"/>
        <v>1.0102006481481483</v>
      </c>
      <c r="I132" s="65"/>
    </row>
    <row r="133" spans="1:9" x14ac:dyDescent="0.3">
      <c r="A133" s="33">
        <v>45995.40724537037</v>
      </c>
      <c r="B133" s="34">
        <v>1320</v>
      </c>
      <c r="C133" s="34">
        <v>1.0537000000000001</v>
      </c>
      <c r="D133" s="34">
        <v>363.28890000000001</v>
      </c>
      <c r="E133" s="34">
        <v>383.11331000000001</v>
      </c>
      <c r="F133" s="34">
        <v>0</v>
      </c>
      <c r="G133" s="59">
        <f t="shared" si="2"/>
        <v>1.0096566666666666</v>
      </c>
      <c r="H133" s="63">
        <f t="shared" si="3"/>
        <v>1.0091821296296297</v>
      </c>
      <c r="I133" s="65"/>
    </row>
    <row r="134" spans="1:9" x14ac:dyDescent="0.3">
      <c r="A134" s="33">
        <v>45995.407361111109</v>
      </c>
      <c r="B134" s="34">
        <v>1330</v>
      </c>
      <c r="C134" s="34">
        <v>1.0537000000000001</v>
      </c>
      <c r="D134" s="34">
        <v>362.96390000000002</v>
      </c>
      <c r="E134" s="34">
        <v>381.86333999999999</v>
      </c>
      <c r="F134" s="34">
        <v>0</v>
      </c>
      <c r="G134" s="59">
        <f t="shared" si="2"/>
        <v>1.0086844444444445</v>
      </c>
      <c r="H134" s="63">
        <f t="shared" si="3"/>
        <v>1.0082099074074076</v>
      </c>
      <c r="I134" s="65"/>
    </row>
    <row r="135" spans="1:9" x14ac:dyDescent="0.3">
      <c r="A135" s="33">
        <v>45995.407476851855</v>
      </c>
      <c r="B135" s="34">
        <v>1340</v>
      </c>
      <c r="C135" s="34">
        <v>1.0525</v>
      </c>
      <c r="D135" s="34">
        <v>362.6139</v>
      </c>
      <c r="E135" s="34">
        <v>381.23836999999997</v>
      </c>
      <c r="F135" s="34">
        <v>0</v>
      </c>
      <c r="G135" s="59">
        <f t="shared" si="2"/>
        <v>1.0077469444444445</v>
      </c>
      <c r="H135" s="63">
        <f t="shared" si="3"/>
        <v>1.0072839814814816</v>
      </c>
      <c r="I135" s="65"/>
    </row>
    <row r="136" spans="1:9" x14ac:dyDescent="0.3">
      <c r="A136" s="33">
        <v>45995.407592592594</v>
      </c>
      <c r="B136" s="34">
        <v>1350</v>
      </c>
      <c r="C136" s="34">
        <v>1.0511999999999999</v>
      </c>
      <c r="D136" s="34">
        <v>362.28890000000001</v>
      </c>
      <c r="E136" s="34">
        <v>380.61336999999997</v>
      </c>
      <c r="F136" s="34">
        <v>0</v>
      </c>
      <c r="G136" s="59">
        <f t="shared" si="2"/>
        <v>1.0068094444444446</v>
      </c>
      <c r="H136" s="63">
        <f t="shared" si="3"/>
        <v>1.0063580555555556</v>
      </c>
      <c r="I136" s="65"/>
    </row>
    <row r="137" spans="1:9" x14ac:dyDescent="0.3">
      <c r="A137" s="33">
        <v>45995.407708333332</v>
      </c>
      <c r="B137" s="34">
        <v>1360</v>
      </c>
      <c r="C137" s="34">
        <v>1.05</v>
      </c>
      <c r="D137" s="34">
        <v>361.96390000000002</v>
      </c>
      <c r="E137" s="34">
        <v>379.98840000000001</v>
      </c>
      <c r="F137" s="34">
        <v>0</v>
      </c>
      <c r="G137" s="59">
        <f t="shared" si="2"/>
        <v>1.0059066666666667</v>
      </c>
      <c r="H137" s="63">
        <f t="shared" si="3"/>
        <v>1.005478425925926</v>
      </c>
      <c r="I137" s="65"/>
    </row>
    <row r="138" spans="1:9" x14ac:dyDescent="0.3">
      <c r="A138" s="33">
        <v>45995.407824074071</v>
      </c>
      <c r="B138" s="34">
        <v>1370</v>
      </c>
      <c r="C138" s="34">
        <v>1.05</v>
      </c>
      <c r="D138" s="34">
        <v>361.66390000000001</v>
      </c>
      <c r="E138" s="34">
        <v>379.36342999999999</v>
      </c>
      <c r="F138" s="34">
        <v>0</v>
      </c>
      <c r="G138" s="59">
        <f t="shared" ref="G138:G201" si="4">($B$2/3600)*((D138+D137)/2)</f>
        <v>1.0050386111111111</v>
      </c>
      <c r="H138" s="63">
        <f t="shared" ref="H138:H201" si="5">($B$2/3600)*(D137/3+D138/3+D139/3)</f>
        <v>0.67004888888888892</v>
      </c>
      <c r="I138" s="66">
        <f>(C144-C138)/(D138/1000)</f>
        <v>0.77419947083466167</v>
      </c>
    </row>
    <row r="139" spans="1:9" x14ac:dyDescent="0.3">
      <c r="A139" s="33">
        <v>45995.407939814817</v>
      </c>
      <c r="B139" s="34">
        <v>1380</v>
      </c>
      <c r="C139" s="34">
        <v>1.3</v>
      </c>
      <c r="D139" s="34">
        <v>2.5000000000000001E-2</v>
      </c>
      <c r="E139" s="34">
        <v>0</v>
      </c>
      <c r="F139" s="34">
        <v>1</v>
      </c>
      <c r="G139" s="59">
        <f t="shared" si="4"/>
        <v>0.50234569444444443</v>
      </c>
      <c r="H139" s="63">
        <f t="shared" si="5"/>
        <v>0.3348971296296297</v>
      </c>
      <c r="I139" s="65"/>
    </row>
    <row r="140" spans="1:9" x14ac:dyDescent="0.3">
      <c r="A140" s="33">
        <v>45995.408055555556</v>
      </c>
      <c r="B140" s="34">
        <v>1390</v>
      </c>
      <c r="C140" s="34">
        <v>1.3111999999999999</v>
      </c>
      <c r="D140" s="34">
        <v>0</v>
      </c>
      <c r="E140" s="34">
        <v>0</v>
      </c>
      <c r="F140" s="34">
        <v>1</v>
      </c>
      <c r="G140" s="59">
        <f t="shared" si="4"/>
        <v>3.4722222222222222E-5</v>
      </c>
      <c r="H140" s="63">
        <f t="shared" si="5"/>
        <v>2.314814814814815E-5</v>
      </c>
      <c r="I140" s="65"/>
    </row>
    <row r="141" spans="1:9" x14ac:dyDescent="0.3">
      <c r="A141" s="33">
        <v>45995.408171296294</v>
      </c>
      <c r="B141" s="34">
        <v>1400</v>
      </c>
      <c r="C141" s="34">
        <v>1.3174999999999999</v>
      </c>
      <c r="D141" s="34">
        <v>0</v>
      </c>
      <c r="E141" s="34">
        <v>0</v>
      </c>
      <c r="F141" s="34">
        <v>1</v>
      </c>
      <c r="G141" s="59">
        <f t="shared" si="4"/>
        <v>0</v>
      </c>
      <c r="H141" s="63">
        <f t="shared" si="5"/>
        <v>0</v>
      </c>
      <c r="I141" s="65"/>
    </row>
    <row r="142" spans="1:9" x14ac:dyDescent="0.3">
      <c r="A142" s="33">
        <v>45995.40828703704</v>
      </c>
      <c r="B142" s="34">
        <v>1410</v>
      </c>
      <c r="C142" s="34">
        <v>1.3211999999999999</v>
      </c>
      <c r="D142" s="34">
        <v>0</v>
      </c>
      <c r="E142" s="34">
        <v>0</v>
      </c>
      <c r="F142" s="34">
        <v>1</v>
      </c>
      <c r="G142" s="59">
        <f t="shared" si="4"/>
        <v>0</v>
      </c>
      <c r="H142" s="63">
        <f t="shared" si="5"/>
        <v>0</v>
      </c>
      <c r="I142" s="65"/>
    </row>
    <row r="143" spans="1:9" x14ac:dyDescent="0.3">
      <c r="A143" s="33">
        <v>45995.408402777779</v>
      </c>
      <c r="B143" s="34">
        <v>1420</v>
      </c>
      <c r="C143" s="34">
        <v>1.325</v>
      </c>
      <c r="D143" s="34">
        <v>0</v>
      </c>
      <c r="E143" s="34">
        <v>0</v>
      </c>
      <c r="F143" s="34">
        <v>1</v>
      </c>
      <c r="G143" s="59">
        <f t="shared" si="4"/>
        <v>0</v>
      </c>
      <c r="H143" s="63">
        <f t="shared" si="5"/>
        <v>0</v>
      </c>
      <c r="I143" s="65"/>
    </row>
    <row r="144" spans="1:9" x14ac:dyDescent="0.3">
      <c r="A144" s="33">
        <v>45995.408518518518</v>
      </c>
      <c r="B144" s="34">
        <v>1430</v>
      </c>
      <c r="C144" s="34">
        <v>1.33</v>
      </c>
      <c r="D144" s="34">
        <v>0</v>
      </c>
      <c r="E144" s="34">
        <v>0</v>
      </c>
      <c r="F144" s="34">
        <v>1</v>
      </c>
      <c r="G144" s="59">
        <f t="shared" si="4"/>
        <v>0</v>
      </c>
      <c r="H144" s="63">
        <f t="shared" si="5"/>
        <v>0.34154046296296298</v>
      </c>
      <c r="I144" s="65"/>
    </row>
    <row r="145" spans="1:9" x14ac:dyDescent="0.3">
      <c r="A145" s="33">
        <v>45995.408634259256</v>
      </c>
      <c r="B145" s="34">
        <v>1440</v>
      </c>
      <c r="C145" s="34">
        <v>1.0711999999999999</v>
      </c>
      <c r="D145" s="34">
        <v>368.86369999999999</v>
      </c>
      <c r="E145" s="34">
        <v>394.98795000000001</v>
      </c>
      <c r="F145" s="34">
        <v>0</v>
      </c>
      <c r="G145" s="59">
        <f t="shared" si="4"/>
        <v>0.51231069444444444</v>
      </c>
      <c r="H145" s="63">
        <f t="shared" si="5"/>
        <v>0.6807199074074074</v>
      </c>
      <c r="I145" s="66">
        <f>(C144-C145)/(D145/1000)</f>
        <v>0.70161417347383359</v>
      </c>
    </row>
    <row r="146" spans="1:9" x14ac:dyDescent="0.3">
      <c r="A146" s="33">
        <v>45995.408750000002</v>
      </c>
      <c r="B146" s="34">
        <v>1450</v>
      </c>
      <c r="C146" s="34">
        <v>1.0638000000000001</v>
      </c>
      <c r="D146" s="34">
        <v>366.31380000000001</v>
      </c>
      <c r="E146" s="34">
        <v>389.36313000000001</v>
      </c>
      <c r="F146" s="34">
        <v>0</v>
      </c>
      <c r="G146" s="59">
        <f t="shared" si="4"/>
        <v>1.0210798611111112</v>
      </c>
      <c r="H146" s="63">
        <f t="shared" si="5"/>
        <v>1.0185104629629631</v>
      </c>
      <c r="I146" s="65"/>
    </row>
    <row r="147" spans="1:9" x14ac:dyDescent="0.3">
      <c r="A147" s="33">
        <v>45995.408865740741</v>
      </c>
      <c r="B147" s="34">
        <v>1460</v>
      </c>
      <c r="C147" s="34">
        <v>1.06</v>
      </c>
      <c r="D147" s="34">
        <v>364.81380000000001</v>
      </c>
      <c r="E147" s="34">
        <v>386.86318999999997</v>
      </c>
      <c r="F147" s="34">
        <v>0</v>
      </c>
      <c r="G147" s="59">
        <f t="shared" si="4"/>
        <v>1.015455</v>
      </c>
      <c r="H147" s="63">
        <f t="shared" si="5"/>
        <v>1.013788425925926</v>
      </c>
      <c r="I147" s="65"/>
    </row>
    <row r="148" spans="1:9" x14ac:dyDescent="0.3">
      <c r="A148" s="33">
        <v>45995.40898148148</v>
      </c>
      <c r="B148" s="34">
        <v>1470</v>
      </c>
      <c r="C148" s="34">
        <v>1.0562</v>
      </c>
      <c r="D148" s="34">
        <v>363.76389999999998</v>
      </c>
      <c r="E148" s="34">
        <v>383.73827999999997</v>
      </c>
      <c r="F148" s="34">
        <v>0</v>
      </c>
      <c r="G148" s="59">
        <f t="shared" si="4"/>
        <v>1.0119134722222223</v>
      </c>
      <c r="H148" s="63">
        <f t="shared" si="5"/>
        <v>1.0106403703703704</v>
      </c>
      <c r="I148" s="65"/>
    </row>
    <row r="149" spans="1:9" x14ac:dyDescent="0.3">
      <c r="A149" s="33">
        <v>45995.409097222226</v>
      </c>
      <c r="B149" s="34">
        <v>1480</v>
      </c>
      <c r="C149" s="34">
        <v>1.0537000000000001</v>
      </c>
      <c r="D149" s="34">
        <v>362.91390000000001</v>
      </c>
      <c r="E149" s="34">
        <v>381.86333999999999</v>
      </c>
      <c r="F149" s="34">
        <v>0</v>
      </c>
      <c r="G149" s="59">
        <f t="shared" si="4"/>
        <v>1.0092747222222223</v>
      </c>
      <c r="H149" s="63">
        <f t="shared" si="5"/>
        <v>1.0082330555555556</v>
      </c>
      <c r="I149" s="65"/>
    </row>
    <row r="150" spans="1:9" x14ac:dyDescent="0.3">
      <c r="A150" s="33">
        <v>45995.409212962964</v>
      </c>
      <c r="B150" s="34">
        <v>1490</v>
      </c>
      <c r="C150" s="34">
        <v>1.0511999999999999</v>
      </c>
      <c r="D150" s="34">
        <v>362.21390000000002</v>
      </c>
      <c r="E150" s="34">
        <v>380.61336999999997</v>
      </c>
      <c r="F150" s="34">
        <v>0</v>
      </c>
      <c r="G150" s="59">
        <f t="shared" si="4"/>
        <v>1.0071219444444444</v>
      </c>
      <c r="H150" s="63">
        <f t="shared" si="5"/>
        <v>1.0062424074074074</v>
      </c>
      <c r="I150" s="65"/>
    </row>
    <row r="151" spans="1:9" x14ac:dyDescent="0.3">
      <c r="A151" s="33">
        <v>45995.409328703703</v>
      </c>
      <c r="B151" s="34">
        <v>1500</v>
      </c>
      <c r="C151" s="34">
        <v>1.0487</v>
      </c>
      <c r="D151" s="34">
        <v>361.61399999999998</v>
      </c>
      <c r="E151" s="34">
        <v>378.73842999999999</v>
      </c>
      <c r="F151" s="34">
        <v>0</v>
      </c>
      <c r="G151" s="59">
        <f t="shared" si="4"/>
        <v>1.0053165277777778</v>
      </c>
      <c r="H151" s="63">
        <f t="shared" si="5"/>
        <v>1.0045526851851851</v>
      </c>
      <c r="I151" s="65"/>
    </row>
    <row r="152" spans="1:9" x14ac:dyDescent="0.3">
      <c r="A152" s="33">
        <v>45995.409444444442</v>
      </c>
      <c r="B152" s="34">
        <v>1510</v>
      </c>
      <c r="C152" s="34">
        <v>1.0475000000000001</v>
      </c>
      <c r="D152" s="34">
        <v>361.089</v>
      </c>
      <c r="E152" s="34">
        <v>378.11345999999998</v>
      </c>
      <c r="F152" s="34">
        <v>0</v>
      </c>
      <c r="G152" s="59">
        <f t="shared" si="4"/>
        <v>1.0037541666666667</v>
      </c>
      <c r="H152" s="63">
        <f t="shared" si="5"/>
        <v>1.0030944444444445</v>
      </c>
      <c r="I152" s="65"/>
    </row>
    <row r="153" spans="1:9" x14ac:dyDescent="0.3">
      <c r="A153" s="33">
        <v>45995.409560185188</v>
      </c>
      <c r="B153" s="34">
        <v>1520</v>
      </c>
      <c r="C153" s="34">
        <v>1.0462</v>
      </c>
      <c r="D153" s="34">
        <v>360.63900000000001</v>
      </c>
      <c r="E153" s="34">
        <v>376.86349000000001</v>
      </c>
      <c r="F153" s="34">
        <v>0</v>
      </c>
      <c r="G153" s="59">
        <f t="shared" si="4"/>
        <v>1.0024000000000002</v>
      </c>
      <c r="H153" s="63">
        <f t="shared" si="5"/>
        <v>1.0017981481481482</v>
      </c>
      <c r="I153" s="65"/>
    </row>
    <row r="154" spans="1:9" x14ac:dyDescent="0.3">
      <c r="A154" s="33">
        <v>45995.409675925926</v>
      </c>
      <c r="B154" s="34">
        <v>1530</v>
      </c>
      <c r="C154" s="34">
        <v>1.0449999999999999</v>
      </c>
      <c r="D154" s="34">
        <v>360.214</v>
      </c>
      <c r="E154" s="34">
        <v>376.86349000000001</v>
      </c>
      <c r="F154" s="34">
        <v>0</v>
      </c>
      <c r="G154" s="59">
        <f t="shared" si="4"/>
        <v>1.0011847222222223</v>
      </c>
      <c r="H154" s="63">
        <f t="shared" si="5"/>
        <v>1.0006175925925926</v>
      </c>
      <c r="I154" s="65"/>
    </row>
    <row r="155" spans="1:9" x14ac:dyDescent="0.3">
      <c r="A155" s="33">
        <v>45995.409791666665</v>
      </c>
      <c r="B155" s="34">
        <v>1540</v>
      </c>
      <c r="C155" s="34">
        <v>1.0437000000000001</v>
      </c>
      <c r="D155" s="34">
        <v>359.81400000000002</v>
      </c>
      <c r="E155" s="34">
        <v>375.61353000000003</v>
      </c>
      <c r="F155" s="34">
        <v>0</v>
      </c>
      <c r="G155" s="59">
        <f t="shared" si="4"/>
        <v>1.0000388888888889</v>
      </c>
      <c r="H155" s="63">
        <f t="shared" si="5"/>
        <v>0.99950648148148158</v>
      </c>
      <c r="I155" s="65"/>
    </row>
    <row r="156" spans="1:9" x14ac:dyDescent="0.3">
      <c r="A156" s="33">
        <v>45995.409907407404</v>
      </c>
      <c r="B156" s="34">
        <v>1550</v>
      </c>
      <c r="C156" s="34">
        <v>1.0411999999999999</v>
      </c>
      <c r="D156" s="34">
        <v>359.43900000000002</v>
      </c>
      <c r="E156" s="34">
        <v>374.36358999999999</v>
      </c>
      <c r="F156" s="34">
        <v>0</v>
      </c>
      <c r="G156" s="59">
        <f t="shared" si="4"/>
        <v>0.99896250000000009</v>
      </c>
      <c r="H156" s="63">
        <f t="shared" si="5"/>
        <v>0.99844166666666678</v>
      </c>
      <c r="I156" s="65"/>
    </row>
    <row r="157" spans="1:9" x14ac:dyDescent="0.3">
      <c r="A157" s="33">
        <v>45995.41002314815</v>
      </c>
      <c r="B157" s="34">
        <v>1560</v>
      </c>
      <c r="C157" s="34">
        <v>1.0411999999999999</v>
      </c>
      <c r="D157" s="34">
        <v>359.06400000000002</v>
      </c>
      <c r="E157" s="34">
        <v>373.73858999999999</v>
      </c>
      <c r="F157" s="34">
        <v>0</v>
      </c>
      <c r="G157" s="59">
        <f t="shared" si="4"/>
        <v>0.99792083333333348</v>
      </c>
      <c r="H157" s="63">
        <f t="shared" si="5"/>
        <v>0.99744629629629633</v>
      </c>
      <c r="I157" s="65"/>
    </row>
    <row r="158" spans="1:9" x14ac:dyDescent="0.3">
      <c r="A158" s="33">
        <v>45995.410138888888</v>
      </c>
      <c r="B158" s="34">
        <v>1570</v>
      </c>
      <c r="C158" s="34">
        <v>1.0387</v>
      </c>
      <c r="D158" s="34">
        <v>358.73899999999998</v>
      </c>
      <c r="E158" s="34">
        <v>372.48865000000001</v>
      </c>
      <c r="F158" s="34">
        <v>0</v>
      </c>
      <c r="G158" s="59">
        <f t="shared" si="4"/>
        <v>0.9969486111111111</v>
      </c>
      <c r="H158" s="63">
        <f t="shared" si="5"/>
        <v>0.99649731481481485</v>
      </c>
      <c r="I158" s="65"/>
    </row>
    <row r="159" spans="1:9" x14ac:dyDescent="0.3">
      <c r="A159" s="33">
        <v>45995.410254629627</v>
      </c>
      <c r="B159" s="34">
        <v>1580</v>
      </c>
      <c r="C159" s="34">
        <v>1.0411999999999999</v>
      </c>
      <c r="D159" s="34">
        <v>358.41410000000002</v>
      </c>
      <c r="E159" s="34">
        <v>372.48865000000001</v>
      </c>
      <c r="F159" s="34">
        <v>0</v>
      </c>
      <c r="G159" s="59">
        <f t="shared" si="4"/>
        <v>0.99604597222222224</v>
      </c>
      <c r="H159" s="63">
        <f t="shared" si="5"/>
        <v>0.99559462962962963</v>
      </c>
      <c r="I159" s="65"/>
    </row>
    <row r="160" spans="1:9" x14ac:dyDescent="0.3">
      <c r="A160" s="33">
        <v>45995.410370370373</v>
      </c>
      <c r="B160" s="34">
        <v>1590</v>
      </c>
      <c r="C160" s="34">
        <v>1.04</v>
      </c>
      <c r="D160" s="34">
        <v>358.08909999999997</v>
      </c>
      <c r="E160" s="34">
        <v>372.48865000000001</v>
      </c>
      <c r="F160" s="34">
        <v>0</v>
      </c>
      <c r="G160" s="59">
        <f t="shared" si="4"/>
        <v>0.99514333333333338</v>
      </c>
      <c r="H160" s="63">
        <f t="shared" si="5"/>
        <v>0.99471509259259272</v>
      </c>
      <c r="I160" s="65"/>
    </row>
    <row r="161" spans="1:9" x14ac:dyDescent="0.3">
      <c r="A161" s="33">
        <v>45995.410486111112</v>
      </c>
      <c r="B161" s="34">
        <v>1600</v>
      </c>
      <c r="C161" s="34">
        <v>1.0387</v>
      </c>
      <c r="D161" s="34">
        <v>357.78910000000002</v>
      </c>
      <c r="E161" s="34">
        <v>371.86365000000001</v>
      </c>
      <c r="F161" s="34">
        <v>0</v>
      </c>
      <c r="G161" s="59">
        <f t="shared" si="4"/>
        <v>0.9942752777777778</v>
      </c>
      <c r="H161" s="63">
        <f t="shared" si="5"/>
        <v>0.99383546296296288</v>
      </c>
      <c r="I161" s="65"/>
    </row>
    <row r="162" spans="1:9" x14ac:dyDescent="0.3">
      <c r="A162" s="33">
        <v>45995.410601851851</v>
      </c>
      <c r="B162" s="34">
        <v>1610</v>
      </c>
      <c r="C162" s="34">
        <v>1.0375000000000001</v>
      </c>
      <c r="D162" s="34">
        <v>357.46409999999997</v>
      </c>
      <c r="E162" s="34">
        <v>370.61367999999999</v>
      </c>
      <c r="F162" s="34">
        <v>0</v>
      </c>
      <c r="G162" s="59">
        <f t="shared" si="4"/>
        <v>0.99340722222222222</v>
      </c>
      <c r="H162" s="63">
        <f t="shared" si="5"/>
        <v>0.66227148148148152</v>
      </c>
      <c r="I162" s="66">
        <f>(C168-C162)/(D162/1000)</f>
        <v>0.78329544141635443</v>
      </c>
    </row>
    <row r="163" spans="1:9" x14ac:dyDescent="0.3">
      <c r="A163" s="33">
        <v>45995.410717592589</v>
      </c>
      <c r="B163" s="34">
        <v>1620</v>
      </c>
      <c r="C163" s="34">
        <v>1.29</v>
      </c>
      <c r="D163" s="34">
        <v>0</v>
      </c>
      <c r="E163" s="34">
        <v>0</v>
      </c>
      <c r="F163" s="34">
        <v>1</v>
      </c>
      <c r="G163" s="59">
        <f t="shared" si="4"/>
        <v>0.49647791666666663</v>
      </c>
      <c r="H163" s="63">
        <f t="shared" si="5"/>
        <v>0.33098527777777775</v>
      </c>
      <c r="I163" s="65"/>
    </row>
    <row r="164" spans="1:9" x14ac:dyDescent="0.3">
      <c r="A164" s="33">
        <v>45995.410833333335</v>
      </c>
      <c r="B164" s="34">
        <v>1630</v>
      </c>
      <c r="C164" s="34">
        <v>1.3</v>
      </c>
      <c r="D164" s="34">
        <v>0</v>
      </c>
      <c r="E164" s="34">
        <v>0</v>
      </c>
      <c r="F164" s="34">
        <v>1</v>
      </c>
      <c r="G164" s="59">
        <f t="shared" si="4"/>
        <v>0</v>
      </c>
      <c r="H164" s="63">
        <f t="shared" si="5"/>
        <v>0</v>
      </c>
      <c r="I164" s="65"/>
    </row>
    <row r="165" spans="1:9" x14ac:dyDescent="0.3">
      <c r="A165" s="33">
        <v>45995.410949074074</v>
      </c>
      <c r="B165" s="34">
        <v>1640</v>
      </c>
      <c r="C165" s="34">
        <v>1.3049999999999999</v>
      </c>
      <c r="D165" s="34">
        <v>0</v>
      </c>
      <c r="E165" s="34">
        <v>0</v>
      </c>
      <c r="F165" s="34">
        <v>1</v>
      </c>
      <c r="G165" s="59">
        <f t="shared" si="4"/>
        <v>0</v>
      </c>
      <c r="H165" s="63">
        <f t="shared" si="5"/>
        <v>0</v>
      </c>
      <c r="I165" s="65"/>
    </row>
    <row r="166" spans="1:9" x14ac:dyDescent="0.3">
      <c r="A166" s="33">
        <v>45995.411064814813</v>
      </c>
      <c r="B166" s="34">
        <v>1650</v>
      </c>
      <c r="C166" s="34">
        <v>1.31</v>
      </c>
      <c r="D166" s="34">
        <v>0</v>
      </c>
      <c r="E166" s="34">
        <v>0</v>
      </c>
      <c r="F166" s="34">
        <v>1</v>
      </c>
      <c r="G166" s="59">
        <f t="shared" si="4"/>
        <v>0</v>
      </c>
      <c r="H166" s="63">
        <f t="shared" si="5"/>
        <v>0</v>
      </c>
      <c r="I166" s="65"/>
    </row>
    <row r="167" spans="1:9" x14ac:dyDescent="0.3">
      <c r="A167" s="33">
        <v>45995.411180555559</v>
      </c>
      <c r="B167" s="34">
        <v>1660</v>
      </c>
      <c r="C167" s="34">
        <v>1.3149999999999999</v>
      </c>
      <c r="D167" s="34">
        <v>0</v>
      </c>
      <c r="E167" s="34">
        <v>0</v>
      </c>
      <c r="F167" s="34">
        <v>1</v>
      </c>
      <c r="G167" s="59">
        <f t="shared" si="4"/>
        <v>0</v>
      </c>
      <c r="H167" s="63">
        <f t="shared" si="5"/>
        <v>0</v>
      </c>
      <c r="I167" s="65"/>
    </row>
    <row r="168" spans="1:9" x14ac:dyDescent="0.3">
      <c r="A168" s="33">
        <v>45995.411296296297</v>
      </c>
      <c r="B168" s="34">
        <v>1670</v>
      </c>
      <c r="C168" s="34">
        <v>1.3174999999999999</v>
      </c>
      <c r="D168" s="34">
        <v>0</v>
      </c>
      <c r="E168" s="34">
        <v>0</v>
      </c>
      <c r="F168" s="34">
        <v>1</v>
      </c>
      <c r="G168" s="59">
        <f t="shared" si="4"/>
        <v>0</v>
      </c>
      <c r="H168" s="63">
        <f t="shared" si="5"/>
        <v>0.33779055555555559</v>
      </c>
      <c r="I168" s="65"/>
    </row>
    <row r="169" spans="1:9" x14ac:dyDescent="0.3">
      <c r="A169" s="33">
        <v>45995.411412037036</v>
      </c>
      <c r="B169" s="34">
        <v>1680</v>
      </c>
      <c r="C169" s="34">
        <v>1.0588</v>
      </c>
      <c r="D169" s="34">
        <v>364.81380000000001</v>
      </c>
      <c r="E169" s="34">
        <v>386.23822000000001</v>
      </c>
      <c r="F169" s="34">
        <v>0</v>
      </c>
      <c r="G169" s="59">
        <f t="shared" si="4"/>
        <v>0.50668583333333339</v>
      </c>
      <c r="H169" s="63">
        <f t="shared" si="5"/>
        <v>0.67319694444444456</v>
      </c>
      <c r="I169" s="66">
        <f>(C168-C169)/(D169/1000)</f>
        <v>0.70912887615545217</v>
      </c>
    </row>
    <row r="170" spans="1:9" x14ac:dyDescent="0.3">
      <c r="A170" s="33">
        <v>45995.411527777775</v>
      </c>
      <c r="B170" s="34">
        <v>1690</v>
      </c>
      <c r="C170" s="34">
        <v>1.0511999999999999</v>
      </c>
      <c r="D170" s="34">
        <v>362.2389</v>
      </c>
      <c r="E170" s="34">
        <v>380.61336999999997</v>
      </c>
      <c r="F170" s="34">
        <v>0</v>
      </c>
      <c r="G170" s="59">
        <f t="shared" si="4"/>
        <v>1.0097954166666667</v>
      </c>
      <c r="H170" s="63">
        <f t="shared" si="5"/>
        <v>1.007168240740741</v>
      </c>
      <c r="I170" s="65"/>
    </row>
    <row r="171" spans="1:9" x14ac:dyDescent="0.3">
      <c r="A171" s="33">
        <v>45995.411643518521</v>
      </c>
      <c r="B171" s="34">
        <v>1700</v>
      </c>
      <c r="C171" s="34">
        <v>1.0462</v>
      </c>
      <c r="D171" s="34">
        <v>360.68900000000002</v>
      </c>
      <c r="E171" s="34">
        <v>377.48845999999998</v>
      </c>
      <c r="F171" s="34">
        <v>0</v>
      </c>
      <c r="G171" s="59">
        <f t="shared" si="4"/>
        <v>1.0040665277777778</v>
      </c>
      <c r="H171" s="63">
        <f t="shared" si="5"/>
        <v>1.0023767592592594</v>
      </c>
      <c r="I171" s="65"/>
    </row>
    <row r="172" spans="1:9" x14ac:dyDescent="0.3">
      <c r="A172" s="33">
        <v>45995.411759259259</v>
      </c>
      <c r="B172" s="34">
        <v>1710</v>
      </c>
      <c r="C172" s="34">
        <v>1.0425</v>
      </c>
      <c r="D172" s="34">
        <v>359.63900000000001</v>
      </c>
      <c r="E172" s="34">
        <v>374.98856000000001</v>
      </c>
      <c r="F172" s="34">
        <v>0</v>
      </c>
      <c r="G172" s="59">
        <f t="shared" si="4"/>
        <v>1.0004555555555557</v>
      </c>
      <c r="H172" s="63">
        <f t="shared" si="5"/>
        <v>0.99918240740740749</v>
      </c>
      <c r="I172" s="65"/>
    </row>
    <row r="173" spans="1:9" x14ac:dyDescent="0.3">
      <c r="A173" s="33">
        <v>45995.411874999998</v>
      </c>
      <c r="B173" s="34">
        <v>1720</v>
      </c>
      <c r="C173" s="34">
        <v>1.04</v>
      </c>
      <c r="D173" s="34">
        <v>358.78899999999999</v>
      </c>
      <c r="E173" s="34">
        <v>372.48865000000001</v>
      </c>
      <c r="F173" s="34">
        <v>0</v>
      </c>
      <c r="G173" s="59">
        <f t="shared" si="4"/>
        <v>0.99781666666666669</v>
      </c>
      <c r="H173" s="63">
        <f t="shared" si="5"/>
        <v>0.99679824074074086</v>
      </c>
      <c r="I173" s="65"/>
    </row>
    <row r="174" spans="1:9" x14ac:dyDescent="0.3">
      <c r="A174" s="33">
        <v>45995.411990740744</v>
      </c>
      <c r="B174" s="34">
        <v>1730</v>
      </c>
      <c r="C174" s="34">
        <v>1.04</v>
      </c>
      <c r="D174" s="34">
        <v>358.11410000000001</v>
      </c>
      <c r="E174" s="34">
        <v>372.48865000000001</v>
      </c>
      <c r="F174" s="34">
        <v>0</v>
      </c>
      <c r="G174" s="59">
        <f t="shared" si="4"/>
        <v>0.99569875000000008</v>
      </c>
      <c r="H174" s="63">
        <f t="shared" si="5"/>
        <v>0.99485388888888893</v>
      </c>
      <c r="I174" s="65"/>
    </row>
    <row r="175" spans="1:9" x14ac:dyDescent="0.3">
      <c r="A175" s="33">
        <v>45995.412106481483</v>
      </c>
      <c r="B175" s="34">
        <v>1740</v>
      </c>
      <c r="C175" s="34">
        <v>1.0375000000000001</v>
      </c>
      <c r="D175" s="34">
        <v>357.53910000000002</v>
      </c>
      <c r="E175" s="34">
        <v>371.23867999999999</v>
      </c>
      <c r="F175" s="34">
        <v>0</v>
      </c>
      <c r="G175" s="59">
        <f t="shared" si="4"/>
        <v>0.99396277777777775</v>
      </c>
      <c r="H175" s="63">
        <f t="shared" si="5"/>
        <v>0.993210462962963</v>
      </c>
      <c r="I175" s="65"/>
    </row>
    <row r="176" spans="1:9" x14ac:dyDescent="0.3">
      <c r="A176" s="33">
        <v>45995.412222222221</v>
      </c>
      <c r="B176" s="34">
        <v>1750</v>
      </c>
      <c r="C176" s="34">
        <v>1.0362</v>
      </c>
      <c r="D176" s="34">
        <v>357.01409999999998</v>
      </c>
      <c r="E176" s="34">
        <v>369.36374000000001</v>
      </c>
      <c r="F176" s="34">
        <v>0</v>
      </c>
      <c r="G176" s="59">
        <f t="shared" si="4"/>
        <v>0.99243500000000007</v>
      </c>
      <c r="H176" s="63">
        <f t="shared" si="5"/>
        <v>0.99177527777777785</v>
      </c>
      <c r="I176" s="65"/>
    </row>
    <row r="177" spans="1:9" x14ac:dyDescent="0.3">
      <c r="A177" s="33">
        <v>45995.41233796296</v>
      </c>
      <c r="B177" s="34">
        <v>1760</v>
      </c>
      <c r="C177" s="34">
        <v>1.0349999999999999</v>
      </c>
      <c r="D177" s="34">
        <v>356.5641</v>
      </c>
      <c r="E177" s="34">
        <v>368.73874000000001</v>
      </c>
      <c r="F177" s="34">
        <v>0</v>
      </c>
      <c r="G177" s="59">
        <f t="shared" si="4"/>
        <v>0.9910808333333333</v>
      </c>
      <c r="H177" s="63">
        <f t="shared" si="5"/>
        <v>0.99045583333333331</v>
      </c>
      <c r="I177" s="65"/>
    </row>
    <row r="178" spans="1:9" x14ac:dyDescent="0.3">
      <c r="A178" s="33">
        <v>45995.412453703706</v>
      </c>
      <c r="B178" s="34">
        <v>1770</v>
      </c>
      <c r="C178" s="34">
        <v>1.0337000000000001</v>
      </c>
      <c r="D178" s="34">
        <v>356.11410000000001</v>
      </c>
      <c r="E178" s="34">
        <v>367.48876999999999</v>
      </c>
      <c r="F178" s="34">
        <v>0</v>
      </c>
      <c r="G178" s="59">
        <f t="shared" si="4"/>
        <v>0.98983083333333344</v>
      </c>
      <c r="H178" s="63">
        <f t="shared" si="5"/>
        <v>0.9892752777777778</v>
      </c>
      <c r="I178" s="65"/>
    </row>
    <row r="179" spans="1:9" x14ac:dyDescent="0.3">
      <c r="A179" s="33">
        <v>45995.412569444445</v>
      </c>
      <c r="B179" s="34">
        <v>1780</v>
      </c>
      <c r="C179" s="34">
        <v>1.0325</v>
      </c>
      <c r="D179" s="34">
        <v>355.73910000000001</v>
      </c>
      <c r="E179" s="34">
        <v>367.48876999999999</v>
      </c>
      <c r="F179" s="34">
        <v>0</v>
      </c>
      <c r="G179" s="59">
        <f t="shared" si="4"/>
        <v>0.98868500000000004</v>
      </c>
      <c r="H179" s="63">
        <f t="shared" si="5"/>
        <v>0.98816416666666673</v>
      </c>
      <c r="I179" s="65"/>
    </row>
    <row r="180" spans="1:9" x14ac:dyDescent="0.3">
      <c r="A180" s="33">
        <v>45995.412685185183</v>
      </c>
      <c r="B180" s="34">
        <v>1790</v>
      </c>
      <c r="C180" s="34">
        <v>1.0313000000000001</v>
      </c>
      <c r="D180" s="34">
        <v>355.36410000000001</v>
      </c>
      <c r="E180" s="34">
        <v>366.23883000000001</v>
      </c>
      <c r="F180" s="34">
        <v>0</v>
      </c>
      <c r="G180" s="59">
        <f t="shared" si="4"/>
        <v>0.98764333333333343</v>
      </c>
      <c r="H180" s="63">
        <f t="shared" si="5"/>
        <v>0.98714574074074091</v>
      </c>
      <c r="I180" s="65"/>
    </row>
    <row r="181" spans="1:9" x14ac:dyDescent="0.3">
      <c r="A181" s="33">
        <v>45995.412800925929</v>
      </c>
      <c r="B181" s="34">
        <v>1800</v>
      </c>
      <c r="C181" s="34">
        <v>1.03</v>
      </c>
      <c r="D181" s="34">
        <v>355.01420000000002</v>
      </c>
      <c r="E181" s="34">
        <v>365.61383000000001</v>
      </c>
      <c r="F181" s="34">
        <v>0</v>
      </c>
      <c r="G181" s="59">
        <f t="shared" si="4"/>
        <v>0.98663652777777788</v>
      </c>
      <c r="H181" s="63">
        <f t="shared" si="5"/>
        <v>0.98617361111111124</v>
      </c>
      <c r="I181" s="65"/>
    </row>
    <row r="182" spans="1:9" x14ac:dyDescent="0.3">
      <c r="A182" s="33">
        <v>45995.412916666668</v>
      </c>
      <c r="B182" s="34">
        <v>1810</v>
      </c>
      <c r="C182" s="34">
        <v>1.0286999999999999</v>
      </c>
      <c r="D182" s="34">
        <v>354.68920000000003</v>
      </c>
      <c r="E182" s="34">
        <v>364.98885999999999</v>
      </c>
      <c r="F182" s="34">
        <v>0</v>
      </c>
      <c r="G182" s="59">
        <f t="shared" si="4"/>
        <v>0.98569916666666679</v>
      </c>
      <c r="H182" s="63">
        <f t="shared" si="5"/>
        <v>0.98524777777777794</v>
      </c>
      <c r="I182" s="65"/>
    </row>
    <row r="183" spans="1:9" x14ac:dyDescent="0.3">
      <c r="A183" s="33">
        <v>45995.413032407407</v>
      </c>
      <c r="B183" s="34">
        <v>1820</v>
      </c>
      <c r="C183" s="34">
        <v>1.0286999999999999</v>
      </c>
      <c r="D183" s="34">
        <v>354.36419999999998</v>
      </c>
      <c r="E183" s="34">
        <v>364.36389000000003</v>
      </c>
      <c r="F183" s="34">
        <v>0</v>
      </c>
      <c r="G183" s="59">
        <f t="shared" si="4"/>
        <v>0.98479638888888898</v>
      </c>
      <c r="H183" s="63">
        <f t="shared" si="5"/>
        <v>0.98436814814814833</v>
      </c>
      <c r="I183" s="65"/>
    </row>
    <row r="184" spans="1:9" x14ac:dyDescent="0.3">
      <c r="A184" s="33">
        <v>45995.413148148145</v>
      </c>
      <c r="B184" s="34">
        <v>1830</v>
      </c>
      <c r="C184" s="34">
        <v>1.0263</v>
      </c>
      <c r="D184" s="34">
        <v>354.06420000000003</v>
      </c>
      <c r="E184" s="34">
        <v>363.73889000000003</v>
      </c>
      <c r="F184" s="34">
        <v>0</v>
      </c>
      <c r="G184" s="59">
        <f t="shared" si="4"/>
        <v>0.9839283333333334</v>
      </c>
      <c r="H184" s="63">
        <f t="shared" si="5"/>
        <v>0.98351166666666678</v>
      </c>
      <c r="I184" s="65"/>
    </row>
    <row r="185" spans="1:9" x14ac:dyDescent="0.3">
      <c r="A185" s="33">
        <v>45995.413263888891</v>
      </c>
      <c r="B185" s="34">
        <v>1840</v>
      </c>
      <c r="C185" s="34">
        <v>1.0263</v>
      </c>
      <c r="D185" s="34">
        <v>353.76420000000002</v>
      </c>
      <c r="E185" s="34">
        <v>363.11392000000001</v>
      </c>
      <c r="F185" s="34">
        <v>0</v>
      </c>
      <c r="G185" s="59">
        <f t="shared" si="4"/>
        <v>0.98309500000000016</v>
      </c>
      <c r="H185" s="63">
        <f t="shared" si="5"/>
        <v>0.98267833333333343</v>
      </c>
      <c r="I185" s="65"/>
    </row>
    <row r="186" spans="1:9" x14ac:dyDescent="0.3">
      <c r="A186" s="33">
        <v>45995.41337962963</v>
      </c>
      <c r="B186" s="34">
        <v>1850</v>
      </c>
      <c r="C186" s="34">
        <v>1.0249999999999999</v>
      </c>
      <c r="D186" s="34">
        <v>353.46420000000001</v>
      </c>
      <c r="E186" s="34">
        <v>361.86394999999999</v>
      </c>
      <c r="F186" s="34">
        <v>0</v>
      </c>
      <c r="G186" s="59">
        <f t="shared" si="4"/>
        <v>0.9822616666666667</v>
      </c>
      <c r="H186" s="63">
        <f t="shared" si="5"/>
        <v>0.6548411111111111</v>
      </c>
      <c r="I186" s="66">
        <f>(C192-C186)/(D186/1000)</f>
        <v>0.79923228434449711</v>
      </c>
    </row>
    <row r="187" spans="1:9" x14ac:dyDescent="0.3">
      <c r="A187" s="33">
        <v>45995.413495370369</v>
      </c>
      <c r="B187" s="34">
        <v>1860</v>
      </c>
      <c r="C187" s="34">
        <v>1.2837000000000001</v>
      </c>
      <c r="D187" s="34">
        <v>0</v>
      </c>
      <c r="E187" s="34">
        <v>0</v>
      </c>
      <c r="F187" s="34">
        <v>1</v>
      </c>
      <c r="G187" s="59">
        <f t="shared" si="4"/>
        <v>0.49092250000000004</v>
      </c>
      <c r="H187" s="63">
        <f t="shared" si="5"/>
        <v>0.32728166666666669</v>
      </c>
      <c r="I187" s="65"/>
    </row>
    <row r="188" spans="1:9" x14ac:dyDescent="0.3">
      <c r="A188" s="33">
        <v>45995.413611111115</v>
      </c>
      <c r="B188" s="34">
        <v>1870</v>
      </c>
      <c r="C188" s="34">
        <v>1.29</v>
      </c>
      <c r="D188" s="34">
        <v>0</v>
      </c>
      <c r="E188" s="34">
        <v>0</v>
      </c>
      <c r="F188" s="34">
        <v>1</v>
      </c>
      <c r="G188" s="59">
        <f t="shared" si="4"/>
        <v>0</v>
      </c>
      <c r="H188" s="63">
        <f t="shared" si="5"/>
        <v>0</v>
      </c>
      <c r="I188" s="65"/>
    </row>
    <row r="189" spans="1:9" x14ac:dyDescent="0.3">
      <c r="A189" s="33">
        <v>45995.413726851853</v>
      </c>
      <c r="B189" s="34">
        <v>1880</v>
      </c>
      <c r="C189" s="34">
        <v>1.2949999999999999</v>
      </c>
      <c r="D189" s="34">
        <v>0</v>
      </c>
      <c r="E189" s="34">
        <v>0</v>
      </c>
      <c r="F189" s="34">
        <v>1</v>
      </c>
      <c r="G189" s="59">
        <f t="shared" si="4"/>
        <v>0</v>
      </c>
      <c r="H189" s="63">
        <f t="shared" si="5"/>
        <v>0</v>
      </c>
      <c r="I189" s="65"/>
    </row>
    <row r="190" spans="1:9" x14ac:dyDescent="0.3">
      <c r="A190" s="33">
        <v>45995.413842592592</v>
      </c>
      <c r="B190" s="34">
        <v>1890</v>
      </c>
      <c r="C190" s="34">
        <v>1.3</v>
      </c>
      <c r="D190" s="34">
        <v>0</v>
      </c>
      <c r="E190" s="34">
        <v>0</v>
      </c>
      <c r="F190" s="34">
        <v>1</v>
      </c>
      <c r="G190" s="59">
        <f t="shared" si="4"/>
        <v>0</v>
      </c>
      <c r="H190" s="63">
        <f t="shared" si="5"/>
        <v>0</v>
      </c>
      <c r="I190" s="65"/>
    </row>
    <row r="191" spans="1:9" x14ac:dyDescent="0.3">
      <c r="A191" s="33">
        <v>45995.413958333331</v>
      </c>
      <c r="B191" s="34">
        <v>1900</v>
      </c>
      <c r="C191" s="34">
        <v>1.3037000000000001</v>
      </c>
      <c r="D191" s="34">
        <v>0</v>
      </c>
      <c r="E191" s="34">
        <v>0</v>
      </c>
      <c r="F191" s="34">
        <v>1</v>
      </c>
      <c r="G191" s="59">
        <f t="shared" si="4"/>
        <v>0</v>
      </c>
      <c r="H191" s="63">
        <f t="shared" si="5"/>
        <v>0</v>
      </c>
      <c r="I191" s="65"/>
    </row>
    <row r="192" spans="1:9" x14ac:dyDescent="0.3">
      <c r="A192" s="33">
        <v>45995.414074074077</v>
      </c>
      <c r="B192" s="34">
        <v>1910</v>
      </c>
      <c r="C192" s="34">
        <v>1.3075000000000001</v>
      </c>
      <c r="D192" s="34">
        <v>0</v>
      </c>
      <c r="E192" s="34">
        <v>0</v>
      </c>
      <c r="F192" s="34">
        <v>1</v>
      </c>
      <c r="G192" s="59">
        <f t="shared" si="4"/>
        <v>0</v>
      </c>
      <c r="H192" s="63">
        <f t="shared" si="5"/>
        <v>0.3341101851851852</v>
      </c>
      <c r="I192" s="65"/>
    </row>
    <row r="193" spans="1:9" x14ac:dyDescent="0.3">
      <c r="A193" s="33">
        <v>45995.414189814815</v>
      </c>
      <c r="B193" s="34">
        <v>1920</v>
      </c>
      <c r="C193" s="34">
        <v>1.0475000000000001</v>
      </c>
      <c r="D193" s="34">
        <v>360.839</v>
      </c>
      <c r="E193" s="34">
        <v>378.11345999999998</v>
      </c>
      <c r="F193" s="34">
        <v>0</v>
      </c>
      <c r="G193" s="59">
        <f t="shared" si="4"/>
        <v>0.50116527777777775</v>
      </c>
      <c r="H193" s="63">
        <f t="shared" si="5"/>
        <v>0.665812962962963</v>
      </c>
      <c r="I193" s="66">
        <f>(C192-C193)/(D193/1000)</f>
        <v>0.72054295683116287</v>
      </c>
    </row>
    <row r="194" spans="1:9" x14ac:dyDescent="0.3">
      <c r="A194" s="33">
        <v>45995.414305555554</v>
      </c>
      <c r="B194" s="34">
        <v>1930</v>
      </c>
      <c r="C194" s="34">
        <v>1.0387</v>
      </c>
      <c r="D194" s="34">
        <v>358.23899999999998</v>
      </c>
      <c r="E194" s="34">
        <v>371.86365000000001</v>
      </c>
      <c r="F194" s="34">
        <v>0</v>
      </c>
      <c r="G194" s="59">
        <f t="shared" si="4"/>
        <v>0.99871944444444449</v>
      </c>
      <c r="H194" s="63">
        <f t="shared" si="5"/>
        <v>0.9961037962962962</v>
      </c>
      <c r="I194" s="65"/>
    </row>
    <row r="195" spans="1:9" x14ac:dyDescent="0.3">
      <c r="A195" s="33">
        <v>45995.414421296293</v>
      </c>
      <c r="B195" s="34">
        <v>1940</v>
      </c>
      <c r="C195" s="34">
        <v>1.0349999999999999</v>
      </c>
      <c r="D195" s="34">
        <v>356.71409999999997</v>
      </c>
      <c r="E195" s="34">
        <v>369.36374000000001</v>
      </c>
      <c r="F195" s="34">
        <v>0</v>
      </c>
      <c r="G195" s="59">
        <f t="shared" si="4"/>
        <v>0.99299041666666665</v>
      </c>
      <c r="H195" s="63">
        <f t="shared" si="5"/>
        <v>0.99128907407407407</v>
      </c>
      <c r="I195" s="65"/>
    </row>
    <row r="196" spans="1:9" x14ac:dyDescent="0.3">
      <c r="A196" s="33">
        <v>45995.414537037039</v>
      </c>
      <c r="B196" s="34">
        <v>1950</v>
      </c>
      <c r="C196" s="34">
        <v>1.0313000000000001</v>
      </c>
      <c r="D196" s="34">
        <v>355.63909999999998</v>
      </c>
      <c r="E196" s="34">
        <v>366.86380000000003</v>
      </c>
      <c r="F196" s="34">
        <v>0</v>
      </c>
      <c r="G196" s="59">
        <f t="shared" si="4"/>
        <v>0.98937944444444448</v>
      </c>
      <c r="H196" s="63">
        <f t="shared" si="5"/>
        <v>0.98811787037037035</v>
      </c>
      <c r="I196" s="65"/>
    </row>
    <row r="197" spans="1:9" x14ac:dyDescent="0.3">
      <c r="A197" s="33">
        <v>45995.414652777778</v>
      </c>
      <c r="B197" s="34">
        <v>1960</v>
      </c>
      <c r="C197" s="34">
        <v>1.03</v>
      </c>
      <c r="D197" s="34">
        <v>354.8141</v>
      </c>
      <c r="E197" s="34">
        <v>364.98885999999999</v>
      </c>
      <c r="F197" s="34">
        <v>0</v>
      </c>
      <c r="G197" s="59">
        <f t="shared" si="4"/>
        <v>0.98674055555555551</v>
      </c>
      <c r="H197" s="63">
        <f t="shared" si="5"/>
        <v>0.98573370370370372</v>
      </c>
      <c r="I197" s="65"/>
    </row>
    <row r="198" spans="1:9" x14ac:dyDescent="0.3">
      <c r="A198" s="33">
        <v>45995.414768518516</v>
      </c>
      <c r="B198" s="34">
        <v>1970</v>
      </c>
      <c r="C198" s="34">
        <v>1.0275000000000001</v>
      </c>
      <c r="D198" s="34">
        <v>354.13920000000002</v>
      </c>
      <c r="E198" s="34">
        <v>363.73889000000003</v>
      </c>
      <c r="F198" s="34">
        <v>0</v>
      </c>
      <c r="G198" s="59">
        <f t="shared" si="4"/>
        <v>0.98465736111111113</v>
      </c>
      <c r="H198" s="63">
        <f t="shared" si="5"/>
        <v>0.98381250000000009</v>
      </c>
      <c r="I198" s="65"/>
    </row>
    <row r="199" spans="1:9" x14ac:dyDescent="0.3">
      <c r="A199" s="33">
        <v>45995.414884259262</v>
      </c>
      <c r="B199" s="34">
        <v>1980</v>
      </c>
      <c r="C199" s="34">
        <v>1.0249999999999999</v>
      </c>
      <c r="D199" s="34">
        <v>353.56420000000003</v>
      </c>
      <c r="E199" s="34">
        <v>362.48894999999999</v>
      </c>
      <c r="F199" s="34">
        <v>0</v>
      </c>
      <c r="G199" s="59">
        <f t="shared" si="4"/>
        <v>0.98292138888888902</v>
      </c>
      <c r="H199" s="63">
        <f t="shared" si="5"/>
        <v>0.98219222222222224</v>
      </c>
      <c r="I199" s="65"/>
    </row>
    <row r="200" spans="1:9" x14ac:dyDescent="0.3">
      <c r="A200" s="33">
        <v>45995.415000000001</v>
      </c>
      <c r="B200" s="34">
        <v>1990</v>
      </c>
      <c r="C200" s="34">
        <v>1.0237000000000001</v>
      </c>
      <c r="D200" s="34">
        <v>353.06420000000003</v>
      </c>
      <c r="E200" s="34">
        <v>361.23898000000003</v>
      </c>
      <c r="F200" s="34">
        <v>0</v>
      </c>
      <c r="G200" s="59">
        <f t="shared" si="4"/>
        <v>0.98142833333333346</v>
      </c>
      <c r="H200" s="63">
        <f t="shared" si="5"/>
        <v>0.98078018518518528</v>
      </c>
      <c r="I200" s="65"/>
    </row>
    <row r="201" spans="1:9" x14ac:dyDescent="0.3">
      <c r="A201" s="33">
        <v>45995.41511574074</v>
      </c>
      <c r="B201" s="34">
        <v>2000</v>
      </c>
      <c r="C201" s="34">
        <v>1.0225</v>
      </c>
      <c r="D201" s="34">
        <v>352.61419999999998</v>
      </c>
      <c r="E201" s="34">
        <v>360.61398000000003</v>
      </c>
      <c r="F201" s="34">
        <v>0</v>
      </c>
      <c r="G201" s="59">
        <f t="shared" si="4"/>
        <v>0.98010888888888892</v>
      </c>
      <c r="H201" s="63">
        <f t="shared" si="5"/>
        <v>0.97950703703703712</v>
      </c>
      <c r="I201" s="65"/>
    </row>
    <row r="202" spans="1:9" x14ac:dyDescent="0.3">
      <c r="A202" s="33">
        <v>45995.415231481478</v>
      </c>
      <c r="B202" s="34">
        <v>2010</v>
      </c>
      <c r="C202" s="34">
        <v>1.02</v>
      </c>
      <c r="D202" s="34">
        <v>352.18920000000003</v>
      </c>
      <c r="E202" s="34">
        <v>359.36403999999999</v>
      </c>
      <c r="F202" s="34">
        <v>0</v>
      </c>
      <c r="G202" s="59">
        <f t="shared" ref="G202:G265" si="6">($B$2/3600)*((D202+D201)/2)</f>
        <v>0.97889361111111117</v>
      </c>
      <c r="H202" s="63">
        <f t="shared" ref="H202:H265" si="7">($B$2/3600)*(D201/3+D202/3+D203/3)</f>
        <v>0.9783264814814816</v>
      </c>
      <c r="I202" s="65"/>
    </row>
    <row r="203" spans="1:9" x14ac:dyDescent="0.3">
      <c r="A203" s="33">
        <v>45995.415347222224</v>
      </c>
      <c r="B203" s="34">
        <v>2020</v>
      </c>
      <c r="C203" s="34">
        <v>1.02</v>
      </c>
      <c r="D203" s="34">
        <v>351.78919999999999</v>
      </c>
      <c r="E203" s="34">
        <v>358.11407000000003</v>
      </c>
      <c r="F203" s="34">
        <v>0</v>
      </c>
      <c r="G203" s="59">
        <f t="shared" si="6"/>
        <v>0.97774777777777777</v>
      </c>
      <c r="H203" s="63">
        <f t="shared" si="7"/>
        <v>0.97723861111111121</v>
      </c>
      <c r="I203" s="65"/>
    </row>
    <row r="204" spans="1:9" x14ac:dyDescent="0.3">
      <c r="A204" s="33">
        <v>45995.415462962963</v>
      </c>
      <c r="B204" s="34">
        <v>2030</v>
      </c>
      <c r="C204" s="34">
        <v>1.02</v>
      </c>
      <c r="D204" s="34">
        <v>351.4393</v>
      </c>
      <c r="E204" s="34">
        <v>358.11407000000003</v>
      </c>
      <c r="F204" s="34">
        <v>0</v>
      </c>
      <c r="G204" s="59">
        <f t="shared" si="6"/>
        <v>0.97670625</v>
      </c>
      <c r="H204" s="63">
        <f t="shared" si="7"/>
        <v>0.97622018518518516</v>
      </c>
      <c r="I204" s="65"/>
    </row>
    <row r="205" spans="1:9" x14ac:dyDescent="0.3">
      <c r="A205" s="33">
        <v>45995.415578703702</v>
      </c>
      <c r="B205" s="34">
        <v>2040</v>
      </c>
      <c r="C205" s="34">
        <v>1.0175000000000001</v>
      </c>
      <c r="D205" s="34">
        <v>351.08929999999998</v>
      </c>
      <c r="E205" s="34">
        <v>357.48907000000003</v>
      </c>
      <c r="F205" s="34">
        <v>0</v>
      </c>
      <c r="G205" s="59">
        <f t="shared" si="6"/>
        <v>0.97573416666666668</v>
      </c>
      <c r="H205" s="63">
        <f t="shared" si="7"/>
        <v>0.97527120370370368</v>
      </c>
      <c r="I205" s="65"/>
    </row>
    <row r="206" spans="1:9" x14ac:dyDescent="0.3">
      <c r="A206" s="33">
        <v>45995.415694444448</v>
      </c>
      <c r="B206" s="34">
        <v>2050</v>
      </c>
      <c r="C206" s="34">
        <v>1.0163</v>
      </c>
      <c r="D206" s="34">
        <v>350.76429999999999</v>
      </c>
      <c r="E206" s="34">
        <v>356.23914000000002</v>
      </c>
      <c r="F206" s="34">
        <v>0</v>
      </c>
      <c r="G206" s="59">
        <f t="shared" si="6"/>
        <v>0.97479666666666653</v>
      </c>
      <c r="H206" s="63">
        <f t="shared" si="7"/>
        <v>0.97436842592592587</v>
      </c>
      <c r="I206" s="65"/>
    </row>
    <row r="207" spans="1:9" x14ac:dyDescent="0.3">
      <c r="A207" s="33">
        <v>45995.415810185186</v>
      </c>
      <c r="B207" s="34">
        <v>2060</v>
      </c>
      <c r="C207" s="34">
        <v>1.0163</v>
      </c>
      <c r="D207" s="34">
        <v>350.46429999999998</v>
      </c>
      <c r="E207" s="34">
        <v>356.23914000000002</v>
      </c>
      <c r="F207" s="34">
        <v>0</v>
      </c>
      <c r="G207" s="59">
        <f t="shared" si="6"/>
        <v>0.97392861111111106</v>
      </c>
      <c r="H207" s="63">
        <f t="shared" si="7"/>
        <v>0.97351194444444444</v>
      </c>
      <c r="I207" s="65"/>
    </row>
    <row r="208" spans="1:9" x14ac:dyDescent="0.3">
      <c r="A208" s="33">
        <v>45995.415925925925</v>
      </c>
      <c r="B208" s="34">
        <v>2070</v>
      </c>
      <c r="C208" s="34">
        <v>1.0149999999999999</v>
      </c>
      <c r="D208" s="34">
        <v>350.16430000000003</v>
      </c>
      <c r="E208" s="34">
        <v>355.61414000000002</v>
      </c>
      <c r="F208" s="34">
        <v>0</v>
      </c>
      <c r="G208" s="59">
        <f t="shared" si="6"/>
        <v>0.97309527777777782</v>
      </c>
      <c r="H208" s="63">
        <f t="shared" si="7"/>
        <v>0.9726786111111112</v>
      </c>
      <c r="I208" s="65"/>
    </row>
    <row r="209" spans="1:9" x14ac:dyDescent="0.3">
      <c r="A209" s="33">
        <v>45995.416041666664</v>
      </c>
      <c r="B209" s="34">
        <v>2080</v>
      </c>
      <c r="C209" s="34">
        <v>1.0137</v>
      </c>
      <c r="D209" s="34">
        <v>349.86430000000001</v>
      </c>
      <c r="E209" s="34">
        <v>354.98917</v>
      </c>
      <c r="F209" s="34">
        <v>0</v>
      </c>
      <c r="G209" s="59">
        <f t="shared" si="6"/>
        <v>0.97226194444444458</v>
      </c>
      <c r="H209" s="63">
        <f t="shared" si="7"/>
        <v>0.97186842592592593</v>
      </c>
      <c r="I209" s="65"/>
    </row>
    <row r="210" spans="1:9" x14ac:dyDescent="0.3">
      <c r="A210" s="33">
        <v>45995.41615740741</v>
      </c>
      <c r="B210" s="34">
        <v>2090</v>
      </c>
      <c r="C210" s="34">
        <v>1.0137</v>
      </c>
      <c r="D210" s="34">
        <v>349.58929999999998</v>
      </c>
      <c r="E210" s="34">
        <v>354.36419999999998</v>
      </c>
      <c r="F210" s="34">
        <v>0</v>
      </c>
      <c r="G210" s="59">
        <f t="shared" si="6"/>
        <v>0.97146333333333346</v>
      </c>
      <c r="H210" s="63">
        <f t="shared" si="7"/>
        <v>0.64764222222222234</v>
      </c>
      <c r="I210" s="66">
        <f>(C216-C210)/(D210/1000)</f>
        <v>0.81524234294356246</v>
      </c>
    </row>
    <row r="211" spans="1:9" x14ac:dyDescent="0.3">
      <c r="A211" s="33">
        <v>45995.416273148148</v>
      </c>
      <c r="B211" s="34">
        <v>2100</v>
      </c>
      <c r="C211" s="34">
        <v>1.2737000000000001</v>
      </c>
      <c r="D211" s="34">
        <v>0</v>
      </c>
      <c r="E211" s="34">
        <v>0</v>
      </c>
      <c r="F211" s="34">
        <v>1</v>
      </c>
      <c r="G211" s="59">
        <f t="shared" si="6"/>
        <v>0.48554069444444442</v>
      </c>
      <c r="H211" s="63">
        <f t="shared" si="7"/>
        <v>0.3236937962962963</v>
      </c>
      <c r="I211" s="65"/>
    </row>
    <row r="212" spans="1:9" x14ac:dyDescent="0.3">
      <c r="A212" s="33">
        <v>45995.416388888887</v>
      </c>
      <c r="B212" s="34">
        <v>2110</v>
      </c>
      <c r="C212" s="34">
        <v>1.28</v>
      </c>
      <c r="D212" s="34">
        <v>0</v>
      </c>
      <c r="E212" s="34">
        <v>0</v>
      </c>
      <c r="F212" s="34">
        <v>1</v>
      </c>
      <c r="G212" s="59">
        <f t="shared" si="6"/>
        <v>0</v>
      </c>
      <c r="H212" s="63">
        <f t="shared" si="7"/>
        <v>0</v>
      </c>
      <c r="I212" s="65"/>
    </row>
    <row r="213" spans="1:9" x14ac:dyDescent="0.3">
      <c r="A213" s="33">
        <v>45995.416504629633</v>
      </c>
      <c r="B213" s="34">
        <v>2120</v>
      </c>
      <c r="C213" s="34">
        <v>1.2862</v>
      </c>
      <c r="D213" s="34">
        <v>0</v>
      </c>
      <c r="E213" s="34">
        <v>0</v>
      </c>
      <c r="F213" s="34">
        <v>1</v>
      </c>
      <c r="G213" s="59">
        <f t="shared" si="6"/>
        <v>0</v>
      </c>
      <c r="H213" s="63">
        <f t="shared" si="7"/>
        <v>0</v>
      </c>
      <c r="I213" s="65"/>
    </row>
    <row r="214" spans="1:9" x14ac:dyDescent="0.3">
      <c r="A214" s="33">
        <v>45995.416620370372</v>
      </c>
      <c r="B214" s="34">
        <v>2130</v>
      </c>
      <c r="C214" s="34">
        <v>1.2911999999999999</v>
      </c>
      <c r="D214" s="34">
        <v>0</v>
      </c>
      <c r="E214" s="34">
        <v>0</v>
      </c>
      <c r="F214" s="34">
        <v>1</v>
      </c>
      <c r="G214" s="59">
        <f t="shared" si="6"/>
        <v>0</v>
      </c>
      <c r="H214" s="63">
        <f t="shared" si="7"/>
        <v>0</v>
      </c>
      <c r="I214" s="65"/>
    </row>
    <row r="215" spans="1:9" x14ac:dyDescent="0.3">
      <c r="A215" s="33">
        <v>45995.41673611111</v>
      </c>
      <c r="B215" s="34">
        <v>2140</v>
      </c>
      <c r="C215" s="34">
        <v>1.2937000000000001</v>
      </c>
      <c r="D215" s="34">
        <v>0</v>
      </c>
      <c r="E215" s="34">
        <v>0</v>
      </c>
      <c r="F215" s="34">
        <v>1</v>
      </c>
      <c r="G215" s="59">
        <f t="shared" si="6"/>
        <v>0</v>
      </c>
      <c r="H215" s="63">
        <f t="shared" si="7"/>
        <v>0</v>
      </c>
      <c r="I215" s="65"/>
    </row>
    <row r="216" spans="1:9" x14ac:dyDescent="0.3">
      <c r="A216" s="33">
        <v>45995.416851851849</v>
      </c>
      <c r="B216" s="34">
        <v>2150</v>
      </c>
      <c r="C216" s="34">
        <v>1.2987</v>
      </c>
      <c r="D216" s="34">
        <v>0</v>
      </c>
      <c r="E216" s="34">
        <v>0</v>
      </c>
      <c r="F216" s="34">
        <v>1</v>
      </c>
      <c r="G216" s="59">
        <f t="shared" si="6"/>
        <v>0</v>
      </c>
      <c r="H216" s="63">
        <f t="shared" si="7"/>
        <v>0.3306149074074074</v>
      </c>
      <c r="I216" s="65"/>
    </row>
    <row r="217" spans="1:9" x14ac:dyDescent="0.3">
      <c r="A217" s="33">
        <v>45995.416967592595</v>
      </c>
      <c r="B217" s="34">
        <v>2160</v>
      </c>
      <c r="C217" s="34">
        <v>1.0362</v>
      </c>
      <c r="D217" s="34">
        <v>357.0641</v>
      </c>
      <c r="E217" s="34">
        <v>369.98871000000003</v>
      </c>
      <c r="F217" s="34">
        <v>0</v>
      </c>
      <c r="G217" s="59">
        <f t="shared" si="6"/>
        <v>0.4959223611111111</v>
      </c>
      <c r="H217" s="63">
        <f t="shared" si="7"/>
        <v>0.65875305555555552</v>
      </c>
      <c r="I217" s="66">
        <f>(C216-C217)/(D217/1000)</f>
        <v>0.73516211795025033</v>
      </c>
    </row>
    <row r="218" spans="1:9" x14ac:dyDescent="0.3">
      <c r="A218" s="33">
        <v>45995.417083333334</v>
      </c>
      <c r="B218" s="34">
        <v>2170</v>
      </c>
      <c r="C218" s="34">
        <v>1.0286999999999999</v>
      </c>
      <c r="D218" s="34">
        <v>354.38920000000002</v>
      </c>
      <c r="E218" s="34">
        <v>364.36389000000003</v>
      </c>
      <c r="F218" s="34">
        <v>0</v>
      </c>
      <c r="G218" s="59">
        <f t="shared" si="6"/>
        <v>0.98812958333333334</v>
      </c>
      <c r="H218" s="63">
        <f t="shared" si="7"/>
        <v>0.9854560185185185</v>
      </c>
      <c r="I218" s="65"/>
    </row>
    <row r="219" spans="1:9" x14ac:dyDescent="0.3">
      <c r="A219" s="33">
        <v>45995.417199074072</v>
      </c>
      <c r="B219" s="34">
        <v>2180</v>
      </c>
      <c r="C219" s="34">
        <v>1.0237000000000001</v>
      </c>
      <c r="D219" s="34">
        <v>352.83920000000001</v>
      </c>
      <c r="E219" s="34">
        <v>361.23898000000003</v>
      </c>
      <c r="F219" s="34">
        <v>0</v>
      </c>
      <c r="G219" s="59">
        <f t="shared" si="6"/>
        <v>0.9822616666666667</v>
      </c>
      <c r="H219" s="63">
        <f t="shared" si="7"/>
        <v>0.98054879629629632</v>
      </c>
      <c r="I219" s="65"/>
    </row>
    <row r="220" spans="1:9" x14ac:dyDescent="0.3">
      <c r="A220" s="33">
        <v>45995.417314814818</v>
      </c>
      <c r="B220" s="34">
        <v>2190</v>
      </c>
      <c r="C220" s="34">
        <v>1.0186999999999999</v>
      </c>
      <c r="D220" s="34">
        <v>351.76429999999999</v>
      </c>
      <c r="E220" s="34">
        <v>358.11407000000003</v>
      </c>
      <c r="F220" s="34">
        <v>0</v>
      </c>
      <c r="G220" s="59">
        <f t="shared" si="6"/>
        <v>0.97861597222222219</v>
      </c>
      <c r="H220" s="63">
        <f t="shared" si="7"/>
        <v>0.9773775925925926</v>
      </c>
      <c r="I220" s="65"/>
    </row>
    <row r="221" spans="1:9" x14ac:dyDescent="0.3">
      <c r="A221" s="33">
        <v>45995.417430555557</v>
      </c>
      <c r="B221" s="34">
        <v>2200</v>
      </c>
      <c r="C221" s="34">
        <v>1.0175000000000001</v>
      </c>
      <c r="D221" s="34">
        <v>350.96429999999998</v>
      </c>
      <c r="E221" s="34">
        <v>357.48907000000003</v>
      </c>
      <c r="F221" s="34">
        <v>0</v>
      </c>
      <c r="G221" s="59">
        <f t="shared" si="6"/>
        <v>0.97601194444444439</v>
      </c>
      <c r="H221" s="63">
        <f t="shared" si="7"/>
        <v>0.97501657407407416</v>
      </c>
      <c r="I221" s="65"/>
    </row>
    <row r="222" spans="1:9" x14ac:dyDescent="0.3">
      <c r="A222" s="33">
        <v>45995.417546296296</v>
      </c>
      <c r="B222" s="34">
        <v>2210</v>
      </c>
      <c r="C222" s="34">
        <v>1.0149999999999999</v>
      </c>
      <c r="D222" s="34">
        <v>350.28930000000003</v>
      </c>
      <c r="E222" s="34">
        <v>355.61414000000002</v>
      </c>
      <c r="F222" s="34">
        <v>0</v>
      </c>
      <c r="G222" s="59">
        <f t="shared" si="6"/>
        <v>0.9739633333333334</v>
      </c>
      <c r="H222" s="63">
        <f t="shared" si="7"/>
        <v>0.9731184259259259</v>
      </c>
      <c r="I222" s="65"/>
    </row>
    <row r="223" spans="1:9" x14ac:dyDescent="0.3">
      <c r="A223" s="33">
        <v>45995.417662037034</v>
      </c>
      <c r="B223" s="34">
        <v>2220</v>
      </c>
      <c r="C223" s="34">
        <v>1.0137</v>
      </c>
      <c r="D223" s="34">
        <v>349.71429999999998</v>
      </c>
      <c r="E223" s="34">
        <v>354.36419999999998</v>
      </c>
      <c r="F223" s="34">
        <v>0</v>
      </c>
      <c r="G223" s="59">
        <f t="shared" si="6"/>
        <v>0.97222722222222224</v>
      </c>
      <c r="H223" s="63">
        <f t="shared" si="7"/>
        <v>0.97152120370370376</v>
      </c>
      <c r="I223" s="65"/>
    </row>
    <row r="224" spans="1:9" x14ac:dyDescent="0.3">
      <c r="A224" s="33">
        <v>45995.41777777778</v>
      </c>
      <c r="B224" s="34">
        <v>2230</v>
      </c>
      <c r="C224" s="34">
        <v>1.0113000000000001</v>
      </c>
      <c r="D224" s="34">
        <v>349.23930000000001</v>
      </c>
      <c r="E224" s="34">
        <v>353.11423000000002</v>
      </c>
      <c r="F224" s="34">
        <v>0</v>
      </c>
      <c r="G224" s="59">
        <f t="shared" si="6"/>
        <v>0.97076888888888901</v>
      </c>
      <c r="H224" s="63">
        <f t="shared" si="7"/>
        <v>0.97013231481481488</v>
      </c>
      <c r="I224" s="65"/>
    </row>
    <row r="225" spans="1:9" x14ac:dyDescent="0.3">
      <c r="A225" s="33">
        <v>45995.417893518519</v>
      </c>
      <c r="B225" s="34">
        <v>2240</v>
      </c>
      <c r="C225" s="34">
        <v>1.01</v>
      </c>
      <c r="D225" s="34">
        <v>348.78930000000003</v>
      </c>
      <c r="E225" s="34">
        <v>352.48926</v>
      </c>
      <c r="F225" s="34">
        <v>0</v>
      </c>
      <c r="G225" s="59">
        <f t="shared" si="6"/>
        <v>0.96948416666666681</v>
      </c>
      <c r="H225" s="63">
        <f t="shared" si="7"/>
        <v>0.96890546296296298</v>
      </c>
      <c r="I225" s="65"/>
    </row>
    <row r="226" spans="1:9" x14ac:dyDescent="0.3">
      <c r="A226" s="33">
        <v>45995.418009259258</v>
      </c>
      <c r="B226" s="34">
        <v>2250</v>
      </c>
      <c r="C226" s="34">
        <v>1.01</v>
      </c>
      <c r="D226" s="34">
        <v>348.38929999999999</v>
      </c>
      <c r="E226" s="34">
        <v>352.48926</v>
      </c>
      <c r="F226" s="34">
        <v>0</v>
      </c>
      <c r="G226" s="59">
        <f t="shared" si="6"/>
        <v>0.96830361111111107</v>
      </c>
      <c r="H226" s="63">
        <f t="shared" si="7"/>
        <v>0.96777129629629632</v>
      </c>
      <c r="I226" s="65"/>
    </row>
    <row r="227" spans="1:9" x14ac:dyDescent="0.3">
      <c r="A227" s="33">
        <v>45995.418124999997</v>
      </c>
      <c r="B227" s="34">
        <v>2260</v>
      </c>
      <c r="C227" s="34">
        <v>1.0086999999999999</v>
      </c>
      <c r="D227" s="34">
        <v>348.01440000000002</v>
      </c>
      <c r="E227" s="34">
        <v>351.23928999999998</v>
      </c>
      <c r="F227" s="34">
        <v>0</v>
      </c>
      <c r="G227" s="59">
        <f t="shared" si="6"/>
        <v>0.96722736111111129</v>
      </c>
      <c r="H227" s="63">
        <f t="shared" si="7"/>
        <v>0.96675287037037039</v>
      </c>
      <c r="I227" s="65"/>
    </row>
    <row r="228" spans="1:9" x14ac:dyDescent="0.3">
      <c r="A228" s="33">
        <v>45995.418240740742</v>
      </c>
      <c r="B228" s="34">
        <v>2270</v>
      </c>
      <c r="C228" s="34">
        <v>1.0075000000000001</v>
      </c>
      <c r="D228" s="34">
        <v>347.68939999999998</v>
      </c>
      <c r="E228" s="34">
        <v>349.98932000000002</v>
      </c>
      <c r="F228" s="34">
        <v>0</v>
      </c>
      <c r="G228" s="59">
        <f t="shared" si="6"/>
        <v>0.96625527777777787</v>
      </c>
      <c r="H228" s="63">
        <f t="shared" si="7"/>
        <v>0.96580388888888891</v>
      </c>
      <c r="I228" s="65"/>
    </row>
    <row r="229" spans="1:9" x14ac:dyDescent="0.3">
      <c r="A229" s="33">
        <v>45995.418356481481</v>
      </c>
      <c r="B229" s="34">
        <v>2280</v>
      </c>
      <c r="C229" s="34">
        <v>1.0063</v>
      </c>
      <c r="D229" s="34">
        <v>347.36439999999999</v>
      </c>
      <c r="E229" s="34">
        <v>349.36435</v>
      </c>
      <c r="F229" s="34">
        <v>0</v>
      </c>
      <c r="G229" s="59">
        <f t="shared" si="6"/>
        <v>0.96535249999999995</v>
      </c>
      <c r="H229" s="63">
        <f t="shared" si="7"/>
        <v>0.9649011111111111</v>
      </c>
      <c r="I229" s="65"/>
    </row>
    <row r="230" spans="1:9" x14ac:dyDescent="0.3">
      <c r="A230" s="33">
        <v>45995.41847222222</v>
      </c>
      <c r="B230" s="34">
        <v>2290</v>
      </c>
      <c r="C230" s="34">
        <v>1.0049999999999999</v>
      </c>
      <c r="D230" s="34">
        <v>347.0394</v>
      </c>
      <c r="E230" s="34">
        <v>349.36435</v>
      </c>
      <c r="F230" s="34">
        <v>0</v>
      </c>
      <c r="G230" s="59">
        <f t="shared" si="6"/>
        <v>0.96444972222222236</v>
      </c>
      <c r="H230" s="63">
        <f t="shared" si="7"/>
        <v>0.96404462962962978</v>
      </c>
      <c r="I230" s="65"/>
    </row>
    <row r="231" spans="1:9" x14ac:dyDescent="0.3">
      <c r="A231" s="33">
        <v>45995.418587962966</v>
      </c>
      <c r="B231" s="34">
        <v>2300</v>
      </c>
      <c r="C231" s="34">
        <v>1.0037</v>
      </c>
      <c r="D231" s="34">
        <v>346.76440000000002</v>
      </c>
      <c r="E231" s="34">
        <v>348.11437999999998</v>
      </c>
      <c r="F231" s="34">
        <v>0</v>
      </c>
      <c r="G231" s="59">
        <f t="shared" si="6"/>
        <v>0.96361638888888901</v>
      </c>
      <c r="H231" s="63">
        <f t="shared" si="7"/>
        <v>0.9632344444444445</v>
      </c>
      <c r="I231" s="65"/>
    </row>
    <row r="232" spans="1:9" x14ac:dyDescent="0.3">
      <c r="A232" s="33">
        <v>45995.418703703705</v>
      </c>
      <c r="B232" s="34">
        <v>2310</v>
      </c>
      <c r="C232" s="34">
        <v>1.0037</v>
      </c>
      <c r="D232" s="34">
        <v>346.48939999999999</v>
      </c>
      <c r="E232" s="34">
        <v>348.11437999999998</v>
      </c>
      <c r="F232" s="34">
        <v>0</v>
      </c>
      <c r="G232" s="59">
        <f t="shared" si="6"/>
        <v>0.9628525</v>
      </c>
      <c r="H232" s="63">
        <f t="shared" si="7"/>
        <v>0.96247055555555572</v>
      </c>
      <c r="I232" s="65"/>
    </row>
    <row r="233" spans="1:9" x14ac:dyDescent="0.3">
      <c r="A233" s="33">
        <v>45995.418819444443</v>
      </c>
      <c r="B233" s="34">
        <v>2320</v>
      </c>
      <c r="C233" s="34">
        <v>1.0024999999999999</v>
      </c>
      <c r="D233" s="34">
        <v>346.21440000000001</v>
      </c>
      <c r="E233" s="34">
        <v>346.86441000000002</v>
      </c>
      <c r="F233" s="34">
        <v>0</v>
      </c>
      <c r="G233" s="59">
        <f t="shared" si="6"/>
        <v>0.9620886111111111</v>
      </c>
      <c r="H233" s="63">
        <f t="shared" si="7"/>
        <v>0.96170666666666671</v>
      </c>
      <c r="I233" s="65"/>
    </row>
    <row r="234" spans="1:9" x14ac:dyDescent="0.3">
      <c r="A234" s="33">
        <v>45995.418935185182</v>
      </c>
      <c r="B234" s="34">
        <v>2330</v>
      </c>
      <c r="C234" s="34">
        <v>1.0013000000000001</v>
      </c>
      <c r="D234" s="34">
        <v>345.93939999999998</v>
      </c>
      <c r="E234" s="34">
        <v>346.23944</v>
      </c>
      <c r="F234" s="34">
        <v>0</v>
      </c>
      <c r="G234" s="59">
        <f t="shared" si="6"/>
        <v>0.96132472222222232</v>
      </c>
      <c r="H234" s="63">
        <f t="shared" si="7"/>
        <v>0.64088314814814817</v>
      </c>
      <c r="I234" s="66">
        <f>(C240-C234)/(D234/1000)</f>
        <v>0.83078134494076106</v>
      </c>
    </row>
    <row r="235" spans="1:9" x14ac:dyDescent="0.3">
      <c r="A235" s="33">
        <v>45995.419050925928</v>
      </c>
      <c r="B235" s="34">
        <v>2340</v>
      </c>
      <c r="C235" s="34">
        <v>1.2649999999999999</v>
      </c>
      <c r="D235" s="34">
        <v>0</v>
      </c>
      <c r="E235" s="34">
        <v>0</v>
      </c>
      <c r="F235" s="34">
        <v>1</v>
      </c>
      <c r="G235" s="59">
        <f t="shared" si="6"/>
        <v>0.48047138888888885</v>
      </c>
      <c r="H235" s="63">
        <f t="shared" si="7"/>
        <v>0.32031425925925927</v>
      </c>
      <c r="I235" s="65"/>
    </row>
    <row r="236" spans="1:9" x14ac:dyDescent="0.3">
      <c r="A236" s="33">
        <v>45995.419166666667</v>
      </c>
      <c r="B236" s="34">
        <v>2350</v>
      </c>
      <c r="C236" s="34">
        <v>1.2749999999999999</v>
      </c>
      <c r="D236" s="34">
        <v>0</v>
      </c>
      <c r="E236" s="34">
        <v>0</v>
      </c>
      <c r="F236" s="34">
        <v>1</v>
      </c>
      <c r="G236" s="59">
        <f t="shared" si="6"/>
        <v>0</v>
      </c>
      <c r="H236" s="63">
        <f t="shared" si="7"/>
        <v>0</v>
      </c>
      <c r="I236" s="65"/>
    </row>
    <row r="237" spans="1:9" x14ac:dyDescent="0.3">
      <c r="A237" s="33">
        <v>45995.419282407405</v>
      </c>
      <c r="B237" s="34">
        <v>2360</v>
      </c>
      <c r="C237" s="34">
        <v>1.2775000000000001</v>
      </c>
      <c r="D237" s="34">
        <v>0</v>
      </c>
      <c r="E237" s="34">
        <v>0</v>
      </c>
      <c r="F237" s="34">
        <v>1</v>
      </c>
      <c r="G237" s="59">
        <f t="shared" si="6"/>
        <v>0</v>
      </c>
      <c r="H237" s="63">
        <f t="shared" si="7"/>
        <v>0</v>
      </c>
      <c r="I237" s="65"/>
    </row>
    <row r="238" spans="1:9" x14ac:dyDescent="0.3">
      <c r="A238" s="33">
        <v>45995.419398148151</v>
      </c>
      <c r="B238" s="34">
        <v>2370</v>
      </c>
      <c r="C238" s="34">
        <v>1.2825</v>
      </c>
      <c r="D238" s="34">
        <v>0</v>
      </c>
      <c r="E238" s="34">
        <v>0</v>
      </c>
      <c r="F238" s="34">
        <v>1</v>
      </c>
      <c r="G238" s="59">
        <f t="shared" si="6"/>
        <v>0</v>
      </c>
      <c r="H238" s="63">
        <f t="shared" si="7"/>
        <v>0</v>
      </c>
      <c r="I238" s="65"/>
    </row>
    <row r="239" spans="1:9" x14ac:dyDescent="0.3">
      <c r="A239" s="33">
        <v>45995.41951388889</v>
      </c>
      <c r="B239" s="34">
        <v>2380</v>
      </c>
      <c r="C239" s="34">
        <v>1.2862</v>
      </c>
      <c r="D239" s="34">
        <v>0</v>
      </c>
      <c r="E239" s="34">
        <v>0</v>
      </c>
      <c r="F239" s="34">
        <v>1</v>
      </c>
      <c r="G239" s="59">
        <f t="shared" si="6"/>
        <v>0</v>
      </c>
      <c r="H239" s="63">
        <f t="shared" si="7"/>
        <v>0</v>
      </c>
      <c r="I239" s="65"/>
    </row>
    <row r="240" spans="1:9" x14ac:dyDescent="0.3">
      <c r="A240" s="33">
        <v>45995.419629629629</v>
      </c>
      <c r="B240" s="34">
        <v>2390</v>
      </c>
      <c r="C240" s="34">
        <v>1.2887</v>
      </c>
      <c r="D240" s="34">
        <v>0</v>
      </c>
      <c r="E240" s="34">
        <v>0</v>
      </c>
      <c r="F240" s="34">
        <v>1</v>
      </c>
      <c r="G240" s="59">
        <f t="shared" si="6"/>
        <v>0</v>
      </c>
      <c r="H240" s="63">
        <f t="shared" si="7"/>
        <v>0.32732796296296301</v>
      </c>
      <c r="I240" s="65"/>
    </row>
    <row r="241" spans="1:9" x14ac:dyDescent="0.3">
      <c r="A241" s="33">
        <v>45995.419756944444</v>
      </c>
      <c r="B241" s="34">
        <v>2400</v>
      </c>
      <c r="C241" s="34">
        <v>1.0249999999999999</v>
      </c>
      <c r="D241" s="34">
        <v>353.51420000000002</v>
      </c>
      <c r="E241" s="34">
        <v>362.48894999999999</v>
      </c>
      <c r="F241" s="34">
        <v>0</v>
      </c>
      <c r="G241" s="59">
        <f t="shared" si="6"/>
        <v>0.49099194444444449</v>
      </c>
      <c r="H241" s="63">
        <f t="shared" si="7"/>
        <v>0.65215601851851857</v>
      </c>
      <c r="I241" s="66">
        <f>(C240-C241)/(D241/1000)</f>
        <v>0.74593891843665694</v>
      </c>
    </row>
    <row r="242" spans="1:9" x14ac:dyDescent="0.3">
      <c r="A242" s="33">
        <v>45995.419872685183</v>
      </c>
      <c r="B242" s="34">
        <v>2410</v>
      </c>
      <c r="C242" s="34">
        <v>1.0175000000000001</v>
      </c>
      <c r="D242" s="34">
        <v>350.8143</v>
      </c>
      <c r="E242" s="34">
        <v>357.48907000000003</v>
      </c>
      <c r="F242" s="34">
        <v>0</v>
      </c>
      <c r="G242" s="59">
        <f t="shared" si="6"/>
        <v>0.9782340277777779</v>
      </c>
      <c r="H242" s="63">
        <f t="shared" si="7"/>
        <v>0.97554888888888902</v>
      </c>
      <c r="I242" s="65"/>
    </row>
    <row r="243" spans="1:9" x14ac:dyDescent="0.3">
      <c r="A243" s="33">
        <v>45995.419988425929</v>
      </c>
      <c r="B243" s="34">
        <v>2420</v>
      </c>
      <c r="C243" s="34">
        <v>1.0113000000000001</v>
      </c>
      <c r="D243" s="34">
        <v>349.26429999999999</v>
      </c>
      <c r="E243" s="34">
        <v>353.11423000000002</v>
      </c>
      <c r="F243" s="34">
        <v>0</v>
      </c>
      <c r="G243" s="59">
        <f t="shared" si="6"/>
        <v>0.97233138888888904</v>
      </c>
      <c r="H243" s="63">
        <f t="shared" si="7"/>
        <v>0.97061851851851855</v>
      </c>
      <c r="I243" s="65"/>
    </row>
    <row r="244" spans="1:9" x14ac:dyDescent="0.3">
      <c r="A244" s="33">
        <v>45995.420104166667</v>
      </c>
      <c r="B244" s="34">
        <v>2430</v>
      </c>
      <c r="C244" s="34">
        <v>1.0086999999999999</v>
      </c>
      <c r="D244" s="34">
        <v>348.18939999999998</v>
      </c>
      <c r="E244" s="34">
        <v>351.23928999999998</v>
      </c>
      <c r="F244" s="34">
        <v>0</v>
      </c>
      <c r="G244" s="59">
        <f t="shared" si="6"/>
        <v>0.96868569444444452</v>
      </c>
      <c r="H244" s="63">
        <f t="shared" si="7"/>
        <v>0.96744731481481483</v>
      </c>
      <c r="I244" s="65"/>
    </row>
    <row r="245" spans="1:9" x14ac:dyDescent="0.3">
      <c r="A245" s="33">
        <v>45995.420219907406</v>
      </c>
      <c r="B245" s="34">
        <v>2440</v>
      </c>
      <c r="C245" s="34">
        <v>1.0063</v>
      </c>
      <c r="D245" s="34">
        <v>347.38940000000002</v>
      </c>
      <c r="E245" s="34">
        <v>349.36435</v>
      </c>
      <c r="F245" s="34">
        <v>0</v>
      </c>
      <c r="G245" s="59">
        <f t="shared" si="6"/>
        <v>0.96608166666666673</v>
      </c>
      <c r="H245" s="63">
        <f t="shared" si="7"/>
        <v>0.96513259259259265</v>
      </c>
      <c r="I245" s="65"/>
    </row>
    <row r="246" spans="1:9" x14ac:dyDescent="0.3">
      <c r="A246" s="33">
        <v>45995.420335648145</v>
      </c>
      <c r="B246" s="34">
        <v>2450</v>
      </c>
      <c r="C246" s="34">
        <v>1.0037</v>
      </c>
      <c r="D246" s="34">
        <v>346.76440000000002</v>
      </c>
      <c r="E246" s="34">
        <v>348.11437999999998</v>
      </c>
      <c r="F246" s="34">
        <v>0</v>
      </c>
      <c r="G246" s="59">
        <f t="shared" si="6"/>
        <v>0.96410250000000008</v>
      </c>
      <c r="H246" s="63">
        <f t="shared" si="7"/>
        <v>0.96330388888888907</v>
      </c>
      <c r="I246" s="65"/>
    </row>
    <row r="247" spans="1:9" x14ac:dyDescent="0.3">
      <c r="A247" s="33">
        <v>45995.420451388891</v>
      </c>
      <c r="B247" s="34">
        <v>2460</v>
      </c>
      <c r="C247" s="34">
        <v>1.0024999999999999</v>
      </c>
      <c r="D247" s="34">
        <v>346.21440000000001</v>
      </c>
      <c r="E247" s="34">
        <v>346.86441000000002</v>
      </c>
      <c r="F247" s="34">
        <v>0</v>
      </c>
      <c r="G247" s="59">
        <f t="shared" si="6"/>
        <v>0.96247055555555572</v>
      </c>
      <c r="H247" s="63">
        <f t="shared" si="7"/>
        <v>0.96177611111111128</v>
      </c>
      <c r="I247" s="65"/>
    </row>
    <row r="248" spans="1:9" x14ac:dyDescent="0.3">
      <c r="A248" s="33">
        <v>45995.420567129629</v>
      </c>
      <c r="B248" s="34">
        <v>2470</v>
      </c>
      <c r="C248" s="34">
        <v>1.0013000000000001</v>
      </c>
      <c r="D248" s="34">
        <v>345.73939999999999</v>
      </c>
      <c r="E248" s="34">
        <v>346.23944</v>
      </c>
      <c r="F248" s="34">
        <v>0</v>
      </c>
      <c r="G248" s="59">
        <f t="shared" si="6"/>
        <v>0.9610469444444445</v>
      </c>
      <c r="H248" s="63">
        <f t="shared" si="7"/>
        <v>0.96043361111111114</v>
      </c>
      <c r="I248" s="65"/>
    </row>
    <row r="249" spans="1:9" x14ac:dyDescent="0.3">
      <c r="A249" s="33">
        <v>45995.420682870368</v>
      </c>
      <c r="B249" s="34">
        <v>2480</v>
      </c>
      <c r="C249" s="34">
        <v>1.0013000000000001</v>
      </c>
      <c r="D249" s="34">
        <v>345.31450000000001</v>
      </c>
      <c r="E249" s="34">
        <v>345.61444</v>
      </c>
      <c r="F249" s="34">
        <v>0</v>
      </c>
      <c r="G249" s="59">
        <f t="shared" si="6"/>
        <v>0.95979708333333336</v>
      </c>
      <c r="H249" s="63">
        <f t="shared" si="7"/>
        <v>0.9592531481481481</v>
      </c>
      <c r="I249" s="65"/>
    </row>
    <row r="250" spans="1:9" x14ac:dyDescent="0.3">
      <c r="A250" s="33">
        <v>45995.420798611114</v>
      </c>
      <c r="B250" s="34">
        <v>2490</v>
      </c>
      <c r="C250" s="34">
        <v>0.99870000000000003</v>
      </c>
      <c r="D250" s="34">
        <v>344.93950000000001</v>
      </c>
      <c r="E250" s="34">
        <v>344.36450000000002</v>
      </c>
      <c r="F250" s="34">
        <v>0</v>
      </c>
      <c r="G250" s="59">
        <f t="shared" si="6"/>
        <v>0.95868611111111113</v>
      </c>
      <c r="H250" s="63">
        <f t="shared" si="7"/>
        <v>0.95818842592592601</v>
      </c>
      <c r="I250" s="65"/>
    </row>
    <row r="251" spans="1:9" x14ac:dyDescent="0.3">
      <c r="A251" s="33">
        <v>45995.420914351853</v>
      </c>
      <c r="B251" s="34">
        <v>2500</v>
      </c>
      <c r="C251" s="34">
        <v>0.99870000000000003</v>
      </c>
      <c r="D251" s="34">
        <v>344.58949999999999</v>
      </c>
      <c r="E251" s="34">
        <v>344.36450000000002</v>
      </c>
      <c r="F251" s="34">
        <v>0</v>
      </c>
      <c r="G251" s="59">
        <f t="shared" si="6"/>
        <v>0.95767916666666675</v>
      </c>
      <c r="H251" s="63">
        <f t="shared" si="7"/>
        <v>0.95719305555555556</v>
      </c>
      <c r="I251" s="65"/>
    </row>
    <row r="252" spans="1:9" x14ac:dyDescent="0.3">
      <c r="A252" s="33">
        <v>45995.421030092592</v>
      </c>
      <c r="B252" s="34">
        <v>2510</v>
      </c>
      <c r="C252" s="34">
        <v>0.99750000000000005</v>
      </c>
      <c r="D252" s="34">
        <v>344.23950000000002</v>
      </c>
      <c r="E252" s="34">
        <v>343.11453</v>
      </c>
      <c r="F252" s="34">
        <v>0</v>
      </c>
      <c r="G252" s="59">
        <f t="shared" si="6"/>
        <v>0.95670694444444437</v>
      </c>
      <c r="H252" s="63">
        <f t="shared" si="7"/>
        <v>0.95626712962962968</v>
      </c>
      <c r="I252" s="65"/>
    </row>
    <row r="253" spans="1:9" x14ac:dyDescent="0.3">
      <c r="A253" s="33">
        <v>45995.42114583333</v>
      </c>
      <c r="B253" s="34">
        <v>2520</v>
      </c>
      <c r="C253" s="34">
        <v>0.99619999999999997</v>
      </c>
      <c r="D253" s="34">
        <v>343.93950000000001</v>
      </c>
      <c r="E253" s="34">
        <v>343.11453</v>
      </c>
      <c r="F253" s="34">
        <v>0</v>
      </c>
      <c r="G253" s="59">
        <f t="shared" si="6"/>
        <v>0.95580416666666679</v>
      </c>
      <c r="H253" s="63">
        <f t="shared" si="7"/>
        <v>0.95538750000000006</v>
      </c>
      <c r="I253" s="65"/>
    </row>
    <row r="254" spans="1:9" x14ac:dyDescent="0.3">
      <c r="A254" s="33">
        <v>45995.421261574076</v>
      </c>
      <c r="B254" s="34">
        <v>2530</v>
      </c>
      <c r="C254" s="34">
        <v>0.995</v>
      </c>
      <c r="D254" s="34">
        <v>343.6395</v>
      </c>
      <c r="E254" s="34">
        <v>341.86455999999998</v>
      </c>
      <c r="F254" s="34">
        <v>0</v>
      </c>
      <c r="G254" s="59">
        <f t="shared" si="6"/>
        <v>0.95497083333333332</v>
      </c>
      <c r="H254" s="63">
        <f t="shared" si="7"/>
        <v>0.95460046296296297</v>
      </c>
      <c r="I254" s="65"/>
    </row>
    <row r="255" spans="1:9" x14ac:dyDescent="0.3">
      <c r="A255" s="33">
        <v>45995.421377314815</v>
      </c>
      <c r="B255" s="34">
        <v>2540</v>
      </c>
      <c r="C255" s="34">
        <v>0.995</v>
      </c>
      <c r="D255" s="34">
        <v>343.3895</v>
      </c>
      <c r="E255" s="34">
        <v>341.86455999999998</v>
      </c>
      <c r="F255" s="34">
        <v>0</v>
      </c>
      <c r="G255" s="59">
        <f t="shared" si="6"/>
        <v>0.95420694444444443</v>
      </c>
      <c r="H255" s="63">
        <f t="shared" si="7"/>
        <v>0.95383657407407407</v>
      </c>
      <c r="I255" s="65"/>
    </row>
    <row r="256" spans="1:9" x14ac:dyDescent="0.3">
      <c r="A256" s="33">
        <v>45995.421493055554</v>
      </c>
      <c r="B256" s="34">
        <v>2550</v>
      </c>
      <c r="C256" s="34">
        <v>0.99370000000000003</v>
      </c>
      <c r="D256" s="34">
        <v>343.11450000000002</v>
      </c>
      <c r="E256" s="34">
        <v>341.23959000000002</v>
      </c>
      <c r="F256" s="34">
        <v>0</v>
      </c>
      <c r="G256" s="59">
        <f t="shared" si="6"/>
        <v>0.95347777777777787</v>
      </c>
      <c r="H256" s="63">
        <f t="shared" si="7"/>
        <v>0.95311898148148155</v>
      </c>
      <c r="I256" s="65"/>
    </row>
    <row r="257" spans="1:9" x14ac:dyDescent="0.3">
      <c r="A257" s="33">
        <v>45995.4216087963</v>
      </c>
      <c r="B257" s="34">
        <v>2560</v>
      </c>
      <c r="C257" s="34">
        <v>0.99250000000000005</v>
      </c>
      <c r="D257" s="34">
        <v>342.86450000000002</v>
      </c>
      <c r="E257" s="34">
        <v>339.98962</v>
      </c>
      <c r="F257" s="34">
        <v>0</v>
      </c>
      <c r="G257" s="59">
        <f t="shared" si="6"/>
        <v>0.9527486111111112</v>
      </c>
      <c r="H257" s="63">
        <f t="shared" si="7"/>
        <v>0.95240138888888903</v>
      </c>
      <c r="I257" s="65"/>
    </row>
    <row r="258" spans="1:9" x14ac:dyDescent="0.3">
      <c r="A258" s="33">
        <v>45995.421724537038</v>
      </c>
      <c r="B258" s="34">
        <v>2570</v>
      </c>
      <c r="C258" s="34">
        <v>0.99119999999999997</v>
      </c>
      <c r="D258" s="34">
        <v>342.61450000000002</v>
      </c>
      <c r="E258" s="34">
        <v>339.98962</v>
      </c>
      <c r="F258" s="34">
        <v>0</v>
      </c>
      <c r="G258" s="59">
        <f t="shared" si="6"/>
        <v>0.95205416666666676</v>
      </c>
      <c r="H258" s="63">
        <f t="shared" si="7"/>
        <v>0.63470277777777784</v>
      </c>
      <c r="I258" s="66">
        <f>(C264-C258)/(D258/1000)</f>
        <v>0.84672423379629325</v>
      </c>
    </row>
    <row r="259" spans="1:9" x14ac:dyDescent="0.3">
      <c r="A259" s="33">
        <v>45995.421840277777</v>
      </c>
      <c r="B259" s="34">
        <v>2580</v>
      </c>
      <c r="C259" s="34">
        <v>1.2575000000000001</v>
      </c>
      <c r="D259" s="34">
        <v>0</v>
      </c>
      <c r="E259" s="34">
        <v>0</v>
      </c>
      <c r="F259" s="34">
        <v>1</v>
      </c>
      <c r="G259" s="59">
        <f t="shared" si="6"/>
        <v>0.4758534722222223</v>
      </c>
      <c r="H259" s="63">
        <f t="shared" si="7"/>
        <v>0.3172356481481482</v>
      </c>
      <c r="I259" s="65"/>
    </row>
    <row r="260" spans="1:9" x14ac:dyDescent="0.3">
      <c r="A260" s="33">
        <v>45995.421956018516</v>
      </c>
      <c r="B260" s="34">
        <v>2590</v>
      </c>
      <c r="C260" s="34">
        <v>1.2663</v>
      </c>
      <c r="D260" s="34">
        <v>0</v>
      </c>
      <c r="E260" s="34">
        <v>0</v>
      </c>
      <c r="F260" s="34">
        <v>1</v>
      </c>
      <c r="G260" s="59">
        <f t="shared" si="6"/>
        <v>0</v>
      </c>
      <c r="H260" s="63">
        <f t="shared" si="7"/>
        <v>0</v>
      </c>
      <c r="I260" s="65"/>
    </row>
    <row r="261" spans="1:9" x14ac:dyDescent="0.3">
      <c r="A261" s="33">
        <v>45995.422071759262</v>
      </c>
      <c r="B261" s="34">
        <v>2600</v>
      </c>
      <c r="C261" s="34">
        <v>1.2725</v>
      </c>
      <c r="D261" s="34">
        <v>0</v>
      </c>
      <c r="E261" s="34">
        <v>0</v>
      </c>
      <c r="F261" s="34">
        <v>1</v>
      </c>
      <c r="G261" s="59">
        <f t="shared" si="6"/>
        <v>0</v>
      </c>
      <c r="H261" s="63">
        <f t="shared" si="7"/>
        <v>0</v>
      </c>
      <c r="I261" s="65"/>
    </row>
    <row r="262" spans="1:9" x14ac:dyDescent="0.3">
      <c r="A262" s="33">
        <v>45995.4221875</v>
      </c>
      <c r="B262" s="34">
        <v>2610</v>
      </c>
      <c r="C262" s="34">
        <v>1.2786999999999999</v>
      </c>
      <c r="D262" s="34">
        <v>0</v>
      </c>
      <c r="E262" s="34">
        <v>0</v>
      </c>
      <c r="F262" s="34">
        <v>1</v>
      </c>
      <c r="G262" s="59">
        <f t="shared" si="6"/>
        <v>0</v>
      </c>
      <c r="H262" s="63">
        <f t="shared" si="7"/>
        <v>0</v>
      </c>
      <c r="I262" s="65"/>
    </row>
    <row r="263" spans="1:9" x14ac:dyDescent="0.3">
      <c r="A263" s="33">
        <v>45995.422303240739</v>
      </c>
      <c r="B263" s="34">
        <v>2620</v>
      </c>
      <c r="C263" s="34">
        <v>1.2786999999999999</v>
      </c>
      <c r="D263" s="34">
        <v>0</v>
      </c>
      <c r="E263" s="34">
        <v>0</v>
      </c>
      <c r="F263" s="34">
        <v>1</v>
      </c>
      <c r="G263" s="59">
        <f t="shared" si="6"/>
        <v>0</v>
      </c>
      <c r="H263" s="63">
        <f t="shared" si="7"/>
        <v>0</v>
      </c>
      <c r="I263" s="65"/>
    </row>
    <row r="264" spans="1:9" x14ac:dyDescent="0.3">
      <c r="A264" s="33">
        <v>45995.422418981485</v>
      </c>
      <c r="B264" s="34">
        <v>2630</v>
      </c>
      <c r="C264" s="34">
        <v>1.2813000000000001</v>
      </c>
      <c r="D264" s="34">
        <v>0</v>
      </c>
      <c r="E264" s="34">
        <v>0</v>
      </c>
      <c r="F264" s="34">
        <v>1</v>
      </c>
      <c r="G264" s="59">
        <f t="shared" si="6"/>
        <v>0</v>
      </c>
      <c r="H264" s="63">
        <f t="shared" si="7"/>
        <v>0.32427249999999996</v>
      </c>
      <c r="I264" s="65"/>
    </row>
    <row r="265" spans="1:9" x14ac:dyDescent="0.3">
      <c r="A265" s="33">
        <v>45995.422534722224</v>
      </c>
      <c r="B265" s="34">
        <v>2640</v>
      </c>
      <c r="C265" s="34">
        <v>1.0149999999999999</v>
      </c>
      <c r="D265" s="34">
        <v>350.21429999999998</v>
      </c>
      <c r="E265" s="34">
        <v>355.61414000000002</v>
      </c>
      <c r="F265" s="34">
        <v>0</v>
      </c>
      <c r="G265" s="59">
        <f t="shared" si="6"/>
        <v>0.48640875</v>
      </c>
      <c r="H265" s="63">
        <f t="shared" si="7"/>
        <v>0.64602194444444438</v>
      </c>
      <c r="I265" s="66">
        <f>(C264-C265)/(D265/1000)</f>
        <v>0.76039156596404034</v>
      </c>
    </row>
    <row r="266" spans="1:9" x14ac:dyDescent="0.3">
      <c r="A266" s="33">
        <v>45995.422650462962</v>
      </c>
      <c r="B266" s="34">
        <v>2650</v>
      </c>
      <c r="C266" s="34">
        <v>1.0063</v>
      </c>
      <c r="D266" s="34">
        <v>347.48939999999999</v>
      </c>
      <c r="E266" s="34">
        <v>349.36435</v>
      </c>
      <c r="F266" s="34">
        <v>0</v>
      </c>
      <c r="G266" s="59">
        <f t="shared" ref="G266:G329" si="8">($B$2/3600)*((D266+D265)/2)</f>
        <v>0.96903291666666669</v>
      </c>
      <c r="H266" s="63">
        <f t="shared" ref="H266:H329" si="9">($B$2/3600)*(D265/3+D266/3+D267/3)</f>
        <v>0.96633620370370377</v>
      </c>
      <c r="I266" s="65"/>
    </row>
    <row r="267" spans="1:9" x14ac:dyDescent="0.3">
      <c r="A267" s="33">
        <v>45995.422766203701</v>
      </c>
      <c r="B267" s="34">
        <v>2660</v>
      </c>
      <c r="C267" s="34">
        <v>1.0013000000000001</v>
      </c>
      <c r="D267" s="34">
        <v>345.93939999999998</v>
      </c>
      <c r="E267" s="34">
        <v>346.23944</v>
      </c>
      <c r="F267" s="34">
        <v>0</v>
      </c>
      <c r="G267" s="59">
        <f t="shared" si="8"/>
        <v>0.96309555555555548</v>
      </c>
      <c r="H267" s="63">
        <f t="shared" si="9"/>
        <v>0.9613826851851851</v>
      </c>
      <c r="I267" s="65"/>
    </row>
    <row r="268" spans="1:9" x14ac:dyDescent="0.3">
      <c r="A268" s="33">
        <v>45995.422881944447</v>
      </c>
      <c r="B268" s="34">
        <v>2670</v>
      </c>
      <c r="C268" s="34">
        <v>0.99870000000000003</v>
      </c>
      <c r="D268" s="34">
        <v>344.86450000000002</v>
      </c>
      <c r="E268" s="34">
        <v>344.36450000000002</v>
      </c>
      <c r="F268" s="34">
        <v>0</v>
      </c>
      <c r="G268" s="59">
        <f t="shared" si="8"/>
        <v>0.95944986111111119</v>
      </c>
      <c r="H268" s="63">
        <f t="shared" si="9"/>
        <v>0.95821148148148161</v>
      </c>
      <c r="I268" s="65"/>
    </row>
    <row r="269" spans="1:9" x14ac:dyDescent="0.3">
      <c r="A269" s="33">
        <v>45995.422997685186</v>
      </c>
      <c r="B269" s="34">
        <v>2680</v>
      </c>
      <c r="C269" s="34">
        <v>0.99619999999999997</v>
      </c>
      <c r="D269" s="34">
        <v>344.06450000000001</v>
      </c>
      <c r="E269" s="34">
        <v>343.11453</v>
      </c>
      <c r="F269" s="34">
        <v>0</v>
      </c>
      <c r="G269" s="59">
        <f t="shared" si="8"/>
        <v>0.95684583333333351</v>
      </c>
      <c r="H269" s="63">
        <f t="shared" si="9"/>
        <v>0.95591990740740751</v>
      </c>
      <c r="I269" s="65"/>
    </row>
    <row r="270" spans="1:9" x14ac:dyDescent="0.3">
      <c r="A270" s="33">
        <v>45995.423113425924</v>
      </c>
      <c r="B270" s="34">
        <v>2690</v>
      </c>
      <c r="C270" s="34">
        <v>0.995</v>
      </c>
      <c r="D270" s="34">
        <v>343.46449999999999</v>
      </c>
      <c r="E270" s="34">
        <v>341.86455999999998</v>
      </c>
      <c r="F270" s="34">
        <v>0</v>
      </c>
      <c r="G270" s="59">
        <f t="shared" si="8"/>
        <v>0.95490138888888887</v>
      </c>
      <c r="H270" s="63">
        <f t="shared" si="9"/>
        <v>0.95413750000000008</v>
      </c>
      <c r="I270" s="65"/>
    </row>
    <row r="271" spans="1:9" x14ac:dyDescent="0.3">
      <c r="A271" s="33">
        <v>45995.423229166663</v>
      </c>
      <c r="B271" s="34">
        <v>2700</v>
      </c>
      <c r="C271" s="34">
        <v>0.99250000000000005</v>
      </c>
      <c r="D271" s="34">
        <v>342.93950000000001</v>
      </c>
      <c r="E271" s="34">
        <v>339.98962</v>
      </c>
      <c r="F271" s="34">
        <v>0</v>
      </c>
      <c r="G271" s="59">
        <f t="shared" si="8"/>
        <v>0.95333888888888896</v>
      </c>
      <c r="H271" s="63">
        <f t="shared" si="9"/>
        <v>0.95267916666666663</v>
      </c>
      <c r="I271" s="65"/>
    </row>
    <row r="272" spans="1:9" x14ac:dyDescent="0.3">
      <c r="A272" s="33">
        <v>45995.423344907409</v>
      </c>
      <c r="B272" s="34">
        <v>2710</v>
      </c>
      <c r="C272" s="34">
        <v>0.99119999999999997</v>
      </c>
      <c r="D272" s="34">
        <v>342.48950000000002</v>
      </c>
      <c r="E272" s="34">
        <v>339.36464999999998</v>
      </c>
      <c r="F272" s="34">
        <v>0</v>
      </c>
      <c r="G272" s="59">
        <f t="shared" si="8"/>
        <v>0.95198472222222241</v>
      </c>
      <c r="H272" s="63">
        <f t="shared" si="9"/>
        <v>0.95142925925925936</v>
      </c>
      <c r="I272" s="65"/>
    </row>
    <row r="273" spans="1:9" x14ac:dyDescent="0.3">
      <c r="A273" s="33">
        <v>45995.423460648148</v>
      </c>
      <c r="B273" s="34">
        <v>2720</v>
      </c>
      <c r="C273" s="34">
        <v>0.99</v>
      </c>
      <c r="D273" s="34">
        <v>342.1146</v>
      </c>
      <c r="E273" s="34">
        <v>338.73964999999998</v>
      </c>
      <c r="F273" s="34">
        <v>0</v>
      </c>
      <c r="G273" s="59">
        <f t="shared" si="8"/>
        <v>0.95083902777777785</v>
      </c>
      <c r="H273" s="63">
        <f t="shared" si="9"/>
        <v>0.95031824074074089</v>
      </c>
      <c r="I273" s="65"/>
    </row>
    <row r="274" spans="1:9" x14ac:dyDescent="0.3">
      <c r="A274" s="33">
        <v>45995.423576388886</v>
      </c>
      <c r="B274" s="34">
        <v>2730</v>
      </c>
      <c r="C274" s="34">
        <v>0.98870000000000002</v>
      </c>
      <c r="D274" s="34">
        <v>341.7396</v>
      </c>
      <c r="E274" s="34">
        <v>338.11469</v>
      </c>
      <c r="F274" s="34">
        <v>0</v>
      </c>
      <c r="G274" s="59">
        <f t="shared" si="8"/>
        <v>0.94979750000000007</v>
      </c>
      <c r="H274" s="63">
        <f t="shared" si="9"/>
        <v>0.94929981481481485</v>
      </c>
      <c r="I274" s="65"/>
    </row>
    <row r="275" spans="1:9" x14ac:dyDescent="0.3">
      <c r="A275" s="33">
        <v>45995.423692129632</v>
      </c>
      <c r="B275" s="34">
        <v>2740</v>
      </c>
      <c r="C275" s="34">
        <v>0.98870000000000002</v>
      </c>
      <c r="D275" s="34">
        <v>341.38959999999997</v>
      </c>
      <c r="E275" s="34">
        <v>337.48969</v>
      </c>
      <c r="F275" s="34">
        <v>0</v>
      </c>
      <c r="G275" s="59">
        <f t="shared" si="8"/>
        <v>0.94879055555555558</v>
      </c>
      <c r="H275" s="63">
        <f t="shared" si="9"/>
        <v>0.94835074074074077</v>
      </c>
      <c r="I275" s="65"/>
    </row>
    <row r="276" spans="1:9" x14ac:dyDescent="0.3">
      <c r="A276" s="33">
        <v>45995.423807870371</v>
      </c>
      <c r="B276" s="34">
        <v>2750</v>
      </c>
      <c r="C276" s="34">
        <v>0.98750000000000004</v>
      </c>
      <c r="D276" s="34">
        <v>341.08960000000002</v>
      </c>
      <c r="E276" s="34">
        <v>336.86471999999998</v>
      </c>
      <c r="F276" s="34">
        <v>0</v>
      </c>
      <c r="G276" s="59">
        <f t="shared" si="8"/>
        <v>0.94788777777777777</v>
      </c>
      <c r="H276" s="63">
        <f t="shared" si="9"/>
        <v>0.94747111111111115</v>
      </c>
      <c r="I276" s="65"/>
    </row>
    <row r="277" spans="1:9" x14ac:dyDescent="0.3">
      <c r="A277" s="33">
        <v>45995.42392361111</v>
      </c>
      <c r="B277" s="34">
        <v>2760</v>
      </c>
      <c r="C277" s="34">
        <v>0.98619999999999997</v>
      </c>
      <c r="D277" s="34">
        <v>340.78960000000001</v>
      </c>
      <c r="E277" s="34">
        <v>335.61475000000002</v>
      </c>
      <c r="F277" s="34">
        <v>0</v>
      </c>
      <c r="G277" s="59">
        <f t="shared" si="8"/>
        <v>0.94705444444444464</v>
      </c>
      <c r="H277" s="63">
        <f t="shared" si="9"/>
        <v>0.9466377777777778</v>
      </c>
      <c r="I277" s="65"/>
    </row>
    <row r="278" spans="1:9" x14ac:dyDescent="0.3">
      <c r="A278" s="33">
        <v>45995.424039351848</v>
      </c>
      <c r="B278" s="34">
        <v>2770</v>
      </c>
      <c r="C278" s="34">
        <v>0.98499999999999999</v>
      </c>
      <c r="D278" s="34">
        <v>340.4896</v>
      </c>
      <c r="E278" s="34">
        <v>335.61475000000002</v>
      </c>
      <c r="F278" s="34">
        <v>0</v>
      </c>
      <c r="G278" s="59">
        <f t="shared" si="8"/>
        <v>0.94622111111111107</v>
      </c>
      <c r="H278" s="63">
        <f t="shared" si="9"/>
        <v>0.94585074074074094</v>
      </c>
      <c r="I278" s="65"/>
    </row>
    <row r="279" spans="1:9" x14ac:dyDescent="0.3">
      <c r="A279" s="33">
        <v>45995.424155092594</v>
      </c>
      <c r="B279" s="34">
        <v>2780</v>
      </c>
      <c r="C279" s="34">
        <v>0.98499999999999999</v>
      </c>
      <c r="D279" s="34">
        <v>340.2396</v>
      </c>
      <c r="E279" s="34">
        <v>334.98978</v>
      </c>
      <c r="F279" s="34">
        <v>0</v>
      </c>
      <c r="G279" s="59">
        <f t="shared" si="8"/>
        <v>0.94545722222222228</v>
      </c>
      <c r="H279" s="63">
        <f t="shared" si="9"/>
        <v>0.94511000000000001</v>
      </c>
      <c r="I279" s="65"/>
    </row>
    <row r="280" spans="1:9" x14ac:dyDescent="0.3">
      <c r="A280" s="33">
        <v>45995.424270833333</v>
      </c>
      <c r="B280" s="34">
        <v>2790</v>
      </c>
      <c r="C280" s="34">
        <v>0.98370000000000002</v>
      </c>
      <c r="D280" s="34">
        <v>339.9896</v>
      </c>
      <c r="E280" s="34">
        <v>334.98978</v>
      </c>
      <c r="F280" s="34">
        <v>0</v>
      </c>
      <c r="G280" s="59">
        <f t="shared" si="8"/>
        <v>0.94476277777777784</v>
      </c>
      <c r="H280" s="63">
        <f t="shared" si="9"/>
        <v>0.94439240740740749</v>
      </c>
      <c r="I280" s="65"/>
    </row>
    <row r="281" spans="1:9" x14ac:dyDescent="0.3">
      <c r="A281" s="33">
        <v>45995.424386574072</v>
      </c>
      <c r="B281" s="34">
        <v>2800</v>
      </c>
      <c r="C281" s="34">
        <v>0.98250000000000004</v>
      </c>
      <c r="D281" s="34">
        <v>339.71460000000002</v>
      </c>
      <c r="E281" s="34">
        <v>333.73980999999998</v>
      </c>
      <c r="F281" s="34">
        <v>0</v>
      </c>
      <c r="G281" s="59">
        <f t="shared" si="8"/>
        <v>0.94403361111111117</v>
      </c>
      <c r="H281" s="63">
        <f t="shared" si="9"/>
        <v>0.94367481481481486</v>
      </c>
      <c r="I281" s="65"/>
    </row>
    <row r="282" spans="1:9" x14ac:dyDescent="0.3">
      <c r="A282" s="33">
        <v>45995.424502314818</v>
      </c>
      <c r="B282" s="34">
        <v>2810</v>
      </c>
      <c r="C282" s="34">
        <v>0.98119999999999996</v>
      </c>
      <c r="D282" s="34">
        <v>339.46460000000002</v>
      </c>
      <c r="E282" s="34">
        <v>333.11484000000002</v>
      </c>
      <c r="F282" s="34">
        <v>0</v>
      </c>
      <c r="G282" s="59">
        <f t="shared" si="8"/>
        <v>0.9433044444444445</v>
      </c>
      <c r="H282" s="63">
        <f t="shared" si="9"/>
        <v>0.62886962962962978</v>
      </c>
      <c r="I282" s="66">
        <f>(C288-C282)/(D282/1000)</f>
        <v>0.87638004080543297</v>
      </c>
    </row>
    <row r="283" spans="1:9" x14ac:dyDescent="0.3">
      <c r="A283" s="33">
        <v>45995.424618055556</v>
      </c>
      <c r="B283" s="34">
        <v>2820</v>
      </c>
      <c r="C283" s="34">
        <v>1.25</v>
      </c>
      <c r="D283" s="34">
        <v>0</v>
      </c>
      <c r="E283" s="34">
        <v>0</v>
      </c>
      <c r="F283" s="34">
        <v>1</v>
      </c>
      <c r="G283" s="59">
        <f t="shared" si="8"/>
        <v>0.47147861111111117</v>
      </c>
      <c r="H283" s="63">
        <f t="shared" si="9"/>
        <v>0.31431907407407411</v>
      </c>
      <c r="I283" s="65"/>
    </row>
    <row r="284" spans="1:9" x14ac:dyDescent="0.3">
      <c r="A284" s="33">
        <v>45995.424733796295</v>
      </c>
      <c r="B284" s="34">
        <v>2830</v>
      </c>
      <c r="C284" s="34">
        <v>1.26</v>
      </c>
      <c r="D284" s="34">
        <v>0</v>
      </c>
      <c r="E284" s="34">
        <v>0</v>
      </c>
      <c r="F284" s="34">
        <v>1</v>
      </c>
      <c r="G284" s="59">
        <f t="shared" si="8"/>
        <v>0</v>
      </c>
      <c r="H284" s="63">
        <f t="shared" si="9"/>
        <v>0</v>
      </c>
      <c r="I284" s="65"/>
    </row>
    <row r="285" spans="1:9" x14ac:dyDescent="0.3">
      <c r="A285" s="33">
        <v>45995.424849537034</v>
      </c>
      <c r="B285" s="34">
        <v>2840</v>
      </c>
      <c r="C285" s="34">
        <v>1.2663</v>
      </c>
      <c r="D285" s="34">
        <v>0</v>
      </c>
      <c r="E285" s="34">
        <v>0</v>
      </c>
      <c r="F285" s="34">
        <v>1</v>
      </c>
      <c r="G285" s="59">
        <f t="shared" si="8"/>
        <v>0</v>
      </c>
      <c r="H285" s="63">
        <f t="shared" si="9"/>
        <v>0</v>
      </c>
      <c r="I285" s="65"/>
    </row>
    <row r="286" spans="1:9" x14ac:dyDescent="0.3">
      <c r="A286" s="33">
        <v>45995.42496527778</v>
      </c>
      <c r="B286" s="34">
        <v>2850</v>
      </c>
      <c r="C286" s="34">
        <v>1.27</v>
      </c>
      <c r="D286" s="34">
        <v>0</v>
      </c>
      <c r="E286" s="34">
        <v>0</v>
      </c>
      <c r="F286" s="34">
        <v>1</v>
      </c>
      <c r="G286" s="59">
        <f t="shared" si="8"/>
        <v>0</v>
      </c>
      <c r="H286" s="63">
        <f t="shared" si="9"/>
        <v>0</v>
      </c>
      <c r="I286" s="65"/>
    </row>
    <row r="287" spans="1:9" x14ac:dyDescent="0.3">
      <c r="A287" s="33">
        <v>45995.425081018519</v>
      </c>
      <c r="B287" s="34">
        <v>2860</v>
      </c>
      <c r="C287" s="34">
        <v>1.2749999999999999</v>
      </c>
      <c r="D287" s="34">
        <v>0</v>
      </c>
      <c r="E287" s="34">
        <v>0</v>
      </c>
      <c r="F287" s="34">
        <v>1</v>
      </c>
      <c r="G287" s="59">
        <f t="shared" si="8"/>
        <v>0</v>
      </c>
      <c r="H287" s="63">
        <f t="shared" si="9"/>
        <v>0</v>
      </c>
      <c r="I287" s="65"/>
    </row>
    <row r="288" spans="1:9" x14ac:dyDescent="0.3">
      <c r="A288" s="33">
        <v>45995.425196759257</v>
      </c>
      <c r="B288" s="34">
        <v>2870</v>
      </c>
      <c r="C288" s="34">
        <v>1.2786999999999999</v>
      </c>
      <c r="D288" s="34">
        <v>0</v>
      </c>
      <c r="E288" s="34">
        <v>0</v>
      </c>
      <c r="F288" s="34">
        <v>1</v>
      </c>
      <c r="G288" s="59">
        <f t="shared" si="8"/>
        <v>0</v>
      </c>
      <c r="H288" s="63">
        <f t="shared" si="9"/>
        <v>0.32147166666666666</v>
      </c>
      <c r="I288" s="65"/>
    </row>
    <row r="289" spans="1:9" x14ac:dyDescent="0.3">
      <c r="A289" s="33">
        <v>45995.425312500003</v>
      </c>
      <c r="B289" s="34">
        <v>2880</v>
      </c>
      <c r="C289" s="34">
        <v>1.0049999999999999</v>
      </c>
      <c r="D289" s="34">
        <v>347.18939999999998</v>
      </c>
      <c r="E289" s="34">
        <v>349.36435</v>
      </c>
      <c r="F289" s="34">
        <v>0</v>
      </c>
      <c r="G289" s="59">
        <f t="shared" si="8"/>
        <v>0.48220750000000001</v>
      </c>
      <c r="H289" s="63">
        <f t="shared" si="9"/>
        <v>0.6403739814814815</v>
      </c>
      <c r="I289" s="66">
        <f>(C288-C289)/(D289/1000)</f>
        <v>0.78833051930732934</v>
      </c>
    </row>
    <row r="290" spans="1:9" x14ac:dyDescent="0.3">
      <c r="A290" s="33">
        <v>45995.425428240742</v>
      </c>
      <c r="B290" s="34">
        <v>2890</v>
      </c>
      <c r="C290" s="34">
        <v>0.99870000000000003</v>
      </c>
      <c r="D290" s="34">
        <v>344.41449999999998</v>
      </c>
      <c r="E290" s="34">
        <v>343.73950000000002</v>
      </c>
      <c r="F290" s="34">
        <v>0</v>
      </c>
      <c r="G290" s="59">
        <f t="shared" si="8"/>
        <v>0.96056097222222214</v>
      </c>
      <c r="H290" s="63">
        <f t="shared" si="9"/>
        <v>0.95784111111111103</v>
      </c>
      <c r="I290" s="65"/>
    </row>
    <row r="291" spans="1:9" x14ac:dyDescent="0.3">
      <c r="A291" s="33">
        <v>45995.425543981481</v>
      </c>
      <c r="B291" s="34">
        <v>2900</v>
      </c>
      <c r="C291" s="34">
        <v>0.99250000000000005</v>
      </c>
      <c r="D291" s="34">
        <v>342.86450000000002</v>
      </c>
      <c r="E291" s="34">
        <v>339.98962</v>
      </c>
      <c r="F291" s="34">
        <v>0</v>
      </c>
      <c r="G291" s="59">
        <f t="shared" si="8"/>
        <v>0.9545541666666667</v>
      </c>
      <c r="H291" s="63">
        <f t="shared" si="9"/>
        <v>0.95284129629629644</v>
      </c>
      <c r="I291" s="65"/>
    </row>
    <row r="292" spans="1:9" x14ac:dyDescent="0.3">
      <c r="A292" s="33">
        <v>45995.425659722219</v>
      </c>
      <c r="B292" s="34">
        <v>2910</v>
      </c>
      <c r="C292" s="34">
        <v>0.99</v>
      </c>
      <c r="D292" s="34">
        <v>341.78960000000001</v>
      </c>
      <c r="E292" s="34">
        <v>338.11469</v>
      </c>
      <c r="F292" s="34">
        <v>0</v>
      </c>
      <c r="G292" s="59">
        <f t="shared" si="8"/>
        <v>0.95090847222222219</v>
      </c>
      <c r="H292" s="63">
        <f t="shared" si="9"/>
        <v>0.94967009259259261</v>
      </c>
      <c r="I292" s="65"/>
    </row>
    <row r="293" spans="1:9" x14ac:dyDescent="0.3">
      <c r="A293" s="33">
        <v>45995.425775462965</v>
      </c>
      <c r="B293" s="34">
        <v>2920</v>
      </c>
      <c r="C293" s="34">
        <v>0.98619999999999997</v>
      </c>
      <c r="D293" s="34">
        <v>340.9896</v>
      </c>
      <c r="E293" s="34">
        <v>336.23975000000002</v>
      </c>
      <c r="F293" s="34">
        <v>0</v>
      </c>
      <c r="G293" s="59">
        <f t="shared" si="8"/>
        <v>0.94830444444444439</v>
      </c>
      <c r="H293" s="63">
        <f t="shared" si="9"/>
        <v>0.94735537037037043</v>
      </c>
      <c r="I293" s="65"/>
    </row>
    <row r="294" spans="1:9" x14ac:dyDescent="0.3">
      <c r="A294" s="33">
        <v>45995.425891203704</v>
      </c>
      <c r="B294" s="34">
        <v>2930</v>
      </c>
      <c r="C294" s="34">
        <v>0.98499999999999999</v>
      </c>
      <c r="D294" s="34">
        <v>340.3646</v>
      </c>
      <c r="E294" s="34">
        <v>334.98978</v>
      </c>
      <c r="F294" s="34">
        <v>0</v>
      </c>
      <c r="G294" s="59">
        <f t="shared" si="8"/>
        <v>0.94632527777777775</v>
      </c>
      <c r="H294" s="63">
        <f t="shared" si="9"/>
        <v>0.94554981481481493</v>
      </c>
      <c r="I294" s="65"/>
    </row>
    <row r="295" spans="1:9" x14ac:dyDescent="0.3">
      <c r="A295" s="33">
        <v>45995.426006944443</v>
      </c>
      <c r="B295" s="34">
        <v>2940</v>
      </c>
      <c r="C295" s="34">
        <v>0.98370000000000002</v>
      </c>
      <c r="D295" s="34">
        <v>339.83960000000002</v>
      </c>
      <c r="E295" s="34">
        <v>333.73980999999998</v>
      </c>
      <c r="F295" s="34">
        <v>0</v>
      </c>
      <c r="G295" s="59">
        <f t="shared" si="8"/>
        <v>0.94472805555555561</v>
      </c>
      <c r="H295" s="63">
        <f t="shared" si="9"/>
        <v>0.9440683333333334</v>
      </c>
      <c r="I295" s="65"/>
    </row>
    <row r="296" spans="1:9" x14ac:dyDescent="0.3">
      <c r="A296" s="33">
        <v>45995.426122685189</v>
      </c>
      <c r="B296" s="34">
        <v>2950</v>
      </c>
      <c r="C296" s="34">
        <v>0.98119999999999996</v>
      </c>
      <c r="D296" s="34">
        <v>339.38959999999997</v>
      </c>
      <c r="E296" s="34">
        <v>332.48987</v>
      </c>
      <c r="F296" s="34">
        <v>0</v>
      </c>
      <c r="G296" s="59">
        <f t="shared" si="8"/>
        <v>0.94337388888888896</v>
      </c>
      <c r="H296" s="63">
        <f t="shared" si="9"/>
        <v>0.94281833333333342</v>
      </c>
      <c r="I296" s="65"/>
    </row>
    <row r="297" spans="1:9" x14ac:dyDescent="0.3">
      <c r="A297" s="33">
        <v>45995.426238425927</v>
      </c>
      <c r="B297" s="34">
        <v>2960</v>
      </c>
      <c r="C297" s="34">
        <v>0.98</v>
      </c>
      <c r="D297" s="34">
        <v>339.01459999999997</v>
      </c>
      <c r="E297" s="34">
        <v>331.86487</v>
      </c>
      <c r="F297" s="34">
        <v>0</v>
      </c>
      <c r="G297" s="59">
        <f t="shared" si="8"/>
        <v>0.94222805555555555</v>
      </c>
      <c r="H297" s="63">
        <f t="shared" si="9"/>
        <v>0.94173037037037033</v>
      </c>
      <c r="I297" s="65"/>
    </row>
    <row r="298" spans="1:9" x14ac:dyDescent="0.3">
      <c r="A298" s="33">
        <v>45995.426354166666</v>
      </c>
      <c r="B298" s="34">
        <v>2970</v>
      </c>
      <c r="C298" s="34">
        <v>0.97870000000000001</v>
      </c>
      <c r="D298" s="34">
        <v>338.66460000000001</v>
      </c>
      <c r="E298" s="34">
        <v>331.86487</v>
      </c>
      <c r="F298" s="34">
        <v>0</v>
      </c>
      <c r="G298" s="59">
        <f t="shared" si="8"/>
        <v>0.94122111111111117</v>
      </c>
      <c r="H298" s="63">
        <f t="shared" si="9"/>
        <v>0.94075824074074066</v>
      </c>
      <c r="I298" s="65"/>
    </row>
    <row r="299" spans="1:9" x14ac:dyDescent="0.3">
      <c r="A299" s="33">
        <v>45995.426469907405</v>
      </c>
      <c r="B299" s="34">
        <v>2980</v>
      </c>
      <c r="C299" s="34">
        <v>0.97870000000000001</v>
      </c>
      <c r="D299" s="34">
        <v>338.33969999999999</v>
      </c>
      <c r="E299" s="34">
        <v>331.23989999999998</v>
      </c>
      <c r="F299" s="34">
        <v>0</v>
      </c>
      <c r="G299" s="59">
        <f t="shared" si="8"/>
        <v>0.94028375000000008</v>
      </c>
      <c r="H299" s="63">
        <f t="shared" si="9"/>
        <v>0.93985555555555544</v>
      </c>
      <c r="I299" s="65"/>
    </row>
    <row r="300" spans="1:9" x14ac:dyDescent="0.3">
      <c r="A300" s="33">
        <v>45995.426585648151</v>
      </c>
      <c r="B300" s="34">
        <v>2990</v>
      </c>
      <c r="C300" s="34">
        <v>0.97870000000000001</v>
      </c>
      <c r="D300" s="34">
        <v>338.03969999999998</v>
      </c>
      <c r="E300" s="34">
        <v>330.61489999999998</v>
      </c>
      <c r="F300" s="34">
        <v>0</v>
      </c>
      <c r="G300" s="59">
        <f t="shared" si="8"/>
        <v>0.93941583333333345</v>
      </c>
      <c r="H300" s="63">
        <f t="shared" si="9"/>
        <v>0.93897601851851853</v>
      </c>
      <c r="I300" s="65"/>
    </row>
    <row r="301" spans="1:9" x14ac:dyDescent="0.3">
      <c r="A301" s="33">
        <v>45995.426701388889</v>
      </c>
      <c r="B301" s="34">
        <v>3000</v>
      </c>
      <c r="C301" s="34">
        <v>0.97619999999999996</v>
      </c>
      <c r="D301" s="34">
        <v>337.71469999999999</v>
      </c>
      <c r="E301" s="34">
        <v>329.98993000000002</v>
      </c>
      <c r="F301" s="34">
        <v>0</v>
      </c>
      <c r="G301" s="59">
        <f t="shared" si="8"/>
        <v>0.93854777777777787</v>
      </c>
      <c r="H301" s="63">
        <f t="shared" si="9"/>
        <v>0.93814268518518518</v>
      </c>
      <c r="I301" s="65"/>
    </row>
    <row r="302" spans="1:9" x14ac:dyDescent="0.3">
      <c r="A302" s="33">
        <v>45995.426817129628</v>
      </c>
      <c r="B302" s="34">
        <v>3010</v>
      </c>
      <c r="C302" s="34">
        <v>0.97619999999999996</v>
      </c>
      <c r="D302" s="34">
        <v>337.43970000000002</v>
      </c>
      <c r="E302" s="34">
        <v>329.98993000000002</v>
      </c>
      <c r="F302" s="34">
        <v>0</v>
      </c>
      <c r="G302" s="59">
        <f t="shared" si="8"/>
        <v>0.93771444444444452</v>
      </c>
      <c r="H302" s="63">
        <f t="shared" si="9"/>
        <v>0.9373556481481482</v>
      </c>
      <c r="I302" s="65"/>
    </row>
    <row r="303" spans="1:9" x14ac:dyDescent="0.3">
      <c r="A303" s="33">
        <v>45995.426932870374</v>
      </c>
      <c r="B303" s="34">
        <v>3020</v>
      </c>
      <c r="C303" s="34">
        <v>0.97499999999999998</v>
      </c>
      <c r="D303" s="34">
        <v>337.18970000000002</v>
      </c>
      <c r="E303" s="34">
        <v>328.73996</v>
      </c>
      <c r="F303" s="34">
        <v>0</v>
      </c>
      <c r="G303" s="59">
        <f t="shared" si="8"/>
        <v>0.93698527777777785</v>
      </c>
      <c r="H303" s="63">
        <f t="shared" si="9"/>
        <v>0.93661490740740738</v>
      </c>
      <c r="I303" s="65"/>
    </row>
    <row r="304" spans="1:9" x14ac:dyDescent="0.3">
      <c r="A304" s="33">
        <v>45995.427048611113</v>
      </c>
      <c r="B304" s="34">
        <v>3030</v>
      </c>
      <c r="C304" s="34">
        <v>0.97370000000000001</v>
      </c>
      <c r="D304" s="34">
        <v>336.91469999999998</v>
      </c>
      <c r="E304" s="34">
        <v>327.48998999999998</v>
      </c>
      <c r="F304" s="34">
        <v>0</v>
      </c>
      <c r="G304" s="59">
        <f t="shared" si="8"/>
        <v>0.93625611111111107</v>
      </c>
      <c r="H304" s="63">
        <f t="shared" si="9"/>
        <v>0.93589731481481475</v>
      </c>
      <c r="I304" s="65"/>
    </row>
    <row r="305" spans="1:9" x14ac:dyDescent="0.3">
      <c r="A305" s="33">
        <v>45995.427164351851</v>
      </c>
      <c r="B305" s="34">
        <v>3040</v>
      </c>
      <c r="C305" s="34">
        <v>0.97370000000000001</v>
      </c>
      <c r="D305" s="34">
        <v>336.66469999999998</v>
      </c>
      <c r="E305" s="34">
        <v>327.48998999999998</v>
      </c>
      <c r="F305" s="34">
        <v>0</v>
      </c>
      <c r="G305" s="59">
        <f t="shared" si="8"/>
        <v>0.9355269444444444</v>
      </c>
      <c r="H305" s="63">
        <f t="shared" si="9"/>
        <v>0.93520287037037031</v>
      </c>
      <c r="I305" s="65"/>
    </row>
    <row r="306" spans="1:9" x14ac:dyDescent="0.3">
      <c r="A306" s="33">
        <v>45995.42728009259</v>
      </c>
      <c r="B306" s="34">
        <v>3050</v>
      </c>
      <c r="C306" s="34">
        <v>0.97250000000000003</v>
      </c>
      <c r="D306" s="34">
        <v>336.43970000000002</v>
      </c>
      <c r="E306" s="34">
        <v>326.86502000000002</v>
      </c>
      <c r="F306" s="34">
        <v>0</v>
      </c>
      <c r="G306" s="59">
        <f t="shared" si="8"/>
        <v>0.93486722222222218</v>
      </c>
      <c r="H306" s="63">
        <f t="shared" si="9"/>
        <v>0.62324481481481486</v>
      </c>
      <c r="I306" s="66">
        <f>(C312-C306)/(D306/1000)</f>
        <v>0.8881234883992587</v>
      </c>
    </row>
    <row r="307" spans="1:9" x14ac:dyDescent="0.3">
      <c r="A307" s="33">
        <v>45995.427395833336</v>
      </c>
      <c r="B307" s="34">
        <v>3060</v>
      </c>
      <c r="C307" s="34">
        <v>1.2450000000000001</v>
      </c>
      <c r="D307" s="34">
        <v>0</v>
      </c>
      <c r="E307" s="34">
        <v>0</v>
      </c>
      <c r="F307" s="34">
        <v>1</v>
      </c>
      <c r="G307" s="59">
        <f t="shared" si="8"/>
        <v>0.46727736111111118</v>
      </c>
      <c r="H307" s="63">
        <f t="shared" si="9"/>
        <v>0.31151824074074075</v>
      </c>
      <c r="I307" s="65"/>
    </row>
    <row r="308" spans="1:9" x14ac:dyDescent="0.3">
      <c r="A308" s="33">
        <v>45995.427511574075</v>
      </c>
      <c r="B308" s="34">
        <v>3070</v>
      </c>
      <c r="C308" s="34">
        <v>1.2537</v>
      </c>
      <c r="D308" s="34">
        <v>0</v>
      </c>
      <c r="E308" s="34">
        <v>0</v>
      </c>
      <c r="F308" s="34">
        <v>1</v>
      </c>
      <c r="G308" s="59">
        <f t="shared" si="8"/>
        <v>0</v>
      </c>
      <c r="H308" s="63">
        <f t="shared" si="9"/>
        <v>0</v>
      </c>
      <c r="I308" s="65"/>
    </row>
    <row r="309" spans="1:9" x14ac:dyDescent="0.3">
      <c r="A309" s="33">
        <v>45995.427627314813</v>
      </c>
      <c r="B309" s="34">
        <v>3080</v>
      </c>
      <c r="C309" s="34">
        <v>1.26</v>
      </c>
      <c r="D309" s="34">
        <v>0</v>
      </c>
      <c r="E309" s="34">
        <v>0</v>
      </c>
      <c r="F309" s="34">
        <v>1</v>
      </c>
      <c r="G309" s="59">
        <f t="shared" si="8"/>
        <v>0</v>
      </c>
      <c r="H309" s="63">
        <f t="shared" si="9"/>
        <v>0</v>
      </c>
      <c r="I309" s="65"/>
    </row>
    <row r="310" spans="1:9" x14ac:dyDescent="0.3">
      <c r="A310" s="33">
        <v>45995.427743055552</v>
      </c>
      <c r="B310" s="34">
        <v>3090</v>
      </c>
      <c r="C310" s="34">
        <v>1.2637</v>
      </c>
      <c r="D310" s="34">
        <v>0</v>
      </c>
      <c r="E310" s="34">
        <v>0</v>
      </c>
      <c r="F310" s="34">
        <v>1</v>
      </c>
      <c r="G310" s="59">
        <f t="shared" si="8"/>
        <v>0</v>
      </c>
      <c r="H310" s="63">
        <f t="shared" si="9"/>
        <v>0</v>
      </c>
      <c r="I310" s="65"/>
    </row>
    <row r="311" spans="1:9" x14ac:dyDescent="0.3">
      <c r="A311" s="33">
        <v>45995.427858796298</v>
      </c>
      <c r="B311" s="34">
        <v>3100</v>
      </c>
      <c r="C311" s="34">
        <v>1.2675000000000001</v>
      </c>
      <c r="D311" s="34">
        <v>0</v>
      </c>
      <c r="E311" s="34">
        <v>0</v>
      </c>
      <c r="F311" s="34">
        <v>1</v>
      </c>
      <c r="G311" s="59">
        <f t="shared" si="8"/>
        <v>0</v>
      </c>
      <c r="H311" s="63">
        <f t="shared" si="9"/>
        <v>0</v>
      </c>
      <c r="I311" s="65"/>
    </row>
    <row r="312" spans="1:9" x14ac:dyDescent="0.3">
      <c r="A312" s="33">
        <v>45995.427974537037</v>
      </c>
      <c r="B312" s="34">
        <v>3110</v>
      </c>
      <c r="C312" s="34">
        <v>1.2713000000000001</v>
      </c>
      <c r="D312" s="34">
        <v>0</v>
      </c>
      <c r="E312" s="34">
        <v>0</v>
      </c>
      <c r="F312" s="34">
        <v>1</v>
      </c>
      <c r="G312" s="59">
        <f t="shared" si="8"/>
        <v>0</v>
      </c>
      <c r="H312" s="63">
        <f t="shared" si="9"/>
        <v>0.31876342592592594</v>
      </c>
      <c r="I312" s="65"/>
    </row>
    <row r="313" spans="1:9" x14ac:dyDescent="0.3">
      <c r="A313" s="33">
        <v>45995.428090277775</v>
      </c>
      <c r="B313" s="34">
        <v>3120</v>
      </c>
      <c r="C313" s="34">
        <v>0.99750000000000005</v>
      </c>
      <c r="D313" s="34">
        <v>344.2645</v>
      </c>
      <c r="E313" s="34">
        <v>343.11453</v>
      </c>
      <c r="F313" s="34">
        <v>0</v>
      </c>
      <c r="G313" s="59">
        <f t="shared" si="8"/>
        <v>0.47814513888888893</v>
      </c>
      <c r="H313" s="63">
        <f t="shared" si="9"/>
        <v>0.63493435185185187</v>
      </c>
      <c r="I313" s="66">
        <f>(C312-C313)/(D313/1000)</f>
        <v>0.79531871569679724</v>
      </c>
    </row>
    <row r="314" spans="1:9" x14ac:dyDescent="0.3">
      <c r="A314" s="33">
        <v>45995.428206018521</v>
      </c>
      <c r="B314" s="34">
        <v>3130</v>
      </c>
      <c r="C314" s="34">
        <v>0.98870000000000002</v>
      </c>
      <c r="D314" s="34">
        <v>341.46460000000002</v>
      </c>
      <c r="E314" s="34">
        <v>338.11469</v>
      </c>
      <c r="F314" s="34">
        <v>0</v>
      </c>
      <c r="G314" s="59">
        <f t="shared" si="8"/>
        <v>0.95240152777777787</v>
      </c>
      <c r="H314" s="63">
        <f t="shared" si="9"/>
        <v>0.94964694444444453</v>
      </c>
      <c r="I314" s="65"/>
    </row>
    <row r="315" spans="1:9" x14ac:dyDescent="0.3">
      <c r="A315" s="33">
        <v>45995.42832175926</v>
      </c>
      <c r="B315" s="34">
        <v>3140</v>
      </c>
      <c r="C315" s="34">
        <v>0.98370000000000002</v>
      </c>
      <c r="D315" s="34">
        <v>339.88959999999997</v>
      </c>
      <c r="E315" s="34">
        <v>333.73980999999998</v>
      </c>
      <c r="F315" s="34">
        <v>0</v>
      </c>
      <c r="G315" s="59">
        <f t="shared" si="8"/>
        <v>0.94632527777777775</v>
      </c>
      <c r="H315" s="63">
        <f t="shared" si="9"/>
        <v>0.94457759259259266</v>
      </c>
      <c r="I315" s="65"/>
    </row>
    <row r="316" spans="1:9" x14ac:dyDescent="0.3">
      <c r="A316" s="33">
        <v>45995.428437499999</v>
      </c>
      <c r="B316" s="34">
        <v>3150</v>
      </c>
      <c r="C316" s="34">
        <v>0.98119999999999996</v>
      </c>
      <c r="D316" s="34">
        <v>338.78960000000001</v>
      </c>
      <c r="E316" s="34">
        <v>332.48987</v>
      </c>
      <c r="F316" s="34">
        <v>0</v>
      </c>
      <c r="G316" s="59">
        <f t="shared" si="8"/>
        <v>0.94261000000000006</v>
      </c>
      <c r="H316" s="63">
        <f t="shared" si="9"/>
        <v>0.94136009259259268</v>
      </c>
      <c r="I316" s="65"/>
    </row>
    <row r="317" spans="1:9" x14ac:dyDescent="0.3">
      <c r="A317" s="33">
        <v>45995.428553240738</v>
      </c>
      <c r="B317" s="34">
        <v>3160</v>
      </c>
      <c r="C317" s="34">
        <v>0.97870000000000001</v>
      </c>
      <c r="D317" s="34">
        <v>337.98970000000003</v>
      </c>
      <c r="E317" s="34">
        <v>330.61489999999998</v>
      </c>
      <c r="F317" s="34">
        <v>0</v>
      </c>
      <c r="G317" s="59">
        <f t="shared" si="8"/>
        <v>0.93997125000000004</v>
      </c>
      <c r="H317" s="63">
        <f t="shared" si="9"/>
        <v>0.93902222222222231</v>
      </c>
      <c r="I317" s="65"/>
    </row>
    <row r="318" spans="1:9" x14ac:dyDescent="0.3">
      <c r="A318" s="33">
        <v>45995.428668981483</v>
      </c>
      <c r="B318" s="34">
        <v>3170</v>
      </c>
      <c r="C318" s="34">
        <v>0.97619999999999996</v>
      </c>
      <c r="D318" s="34">
        <v>337.36470000000003</v>
      </c>
      <c r="E318" s="34">
        <v>329.36496</v>
      </c>
      <c r="F318" s="34">
        <v>0</v>
      </c>
      <c r="G318" s="59">
        <f t="shared" si="8"/>
        <v>0.93799222222222234</v>
      </c>
      <c r="H318" s="63">
        <f t="shared" si="9"/>
        <v>0.93723990740740737</v>
      </c>
      <c r="I318" s="65"/>
    </row>
    <row r="319" spans="1:9" x14ac:dyDescent="0.3">
      <c r="A319" s="33">
        <v>45995.428784722222</v>
      </c>
      <c r="B319" s="34">
        <v>3180</v>
      </c>
      <c r="C319" s="34">
        <v>0.97370000000000001</v>
      </c>
      <c r="D319" s="34">
        <v>336.86470000000003</v>
      </c>
      <c r="E319" s="34">
        <v>328.11498999999998</v>
      </c>
      <c r="F319" s="34">
        <v>0</v>
      </c>
      <c r="G319" s="59">
        <f t="shared" si="8"/>
        <v>0.93642972222222232</v>
      </c>
      <c r="H319" s="63">
        <f t="shared" si="9"/>
        <v>0.93580472222222222</v>
      </c>
      <c r="I319" s="65"/>
    </row>
    <row r="320" spans="1:9" x14ac:dyDescent="0.3">
      <c r="A320" s="33">
        <v>45995.428900462961</v>
      </c>
      <c r="B320" s="34">
        <v>3190</v>
      </c>
      <c r="C320" s="34">
        <v>0.97250000000000003</v>
      </c>
      <c r="D320" s="34">
        <v>336.43970000000002</v>
      </c>
      <c r="E320" s="34">
        <v>326.86502000000002</v>
      </c>
      <c r="F320" s="34">
        <v>0</v>
      </c>
      <c r="G320" s="59">
        <f t="shared" si="8"/>
        <v>0.935145</v>
      </c>
      <c r="H320" s="63">
        <f t="shared" si="9"/>
        <v>0.93457787037037043</v>
      </c>
      <c r="I320" s="65"/>
    </row>
    <row r="321" spans="1:9" x14ac:dyDescent="0.3">
      <c r="A321" s="33">
        <v>45995.429016203707</v>
      </c>
      <c r="B321" s="34">
        <v>3200</v>
      </c>
      <c r="C321" s="34">
        <v>0.97119999999999995</v>
      </c>
      <c r="D321" s="34">
        <v>336.03969999999998</v>
      </c>
      <c r="E321" s="34">
        <v>326.86502000000002</v>
      </c>
      <c r="F321" s="34">
        <v>0</v>
      </c>
      <c r="G321" s="59">
        <f t="shared" si="8"/>
        <v>0.9339991666666666</v>
      </c>
      <c r="H321" s="63">
        <f t="shared" si="9"/>
        <v>0.93349000000000004</v>
      </c>
      <c r="I321" s="65"/>
    </row>
    <row r="322" spans="1:9" x14ac:dyDescent="0.3">
      <c r="A322" s="33">
        <v>45995.429131944446</v>
      </c>
      <c r="B322" s="34">
        <v>3210</v>
      </c>
      <c r="C322" s="34">
        <v>0.97</v>
      </c>
      <c r="D322" s="34">
        <v>335.68979999999999</v>
      </c>
      <c r="E322" s="34">
        <v>325.61505</v>
      </c>
      <c r="F322" s="34">
        <v>0</v>
      </c>
      <c r="G322" s="59">
        <f t="shared" si="8"/>
        <v>0.93295763888888883</v>
      </c>
      <c r="H322" s="63">
        <f t="shared" si="9"/>
        <v>0.93247157407407411</v>
      </c>
      <c r="I322" s="65"/>
    </row>
    <row r="323" spans="1:9" x14ac:dyDescent="0.3">
      <c r="A323" s="33">
        <v>45995.429247685184</v>
      </c>
      <c r="B323" s="34">
        <v>3220</v>
      </c>
      <c r="C323" s="34">
        <v>0.96879999999999999</v>
      </c>
      <c r="D323" s="34">
        <v>335.33980000000003</v>
      </c>
      <c r="E323" s="34">
        <v>324.36511000000002</v>
      </c>
      <c r="F323" s="34">
        <v>0</v>
      </c>
      <c r="G323" s="59">
        <f t="shared" si="8"/>
        <v>0.93198555555555573</v>
      </c>
      <c r="H323" s="63">
        <f t="shared" si="9"/>
        <v>0.93152259259259262</v>
      </c>
      <c r="I323" s="65"/>
    </row>
    <row r="324" spans="1:9" x14ac:dyDescent="0.3">
      <c r="A324" s="33">
        <v>45995.429363425923</v>
      </c>
      <c r="B324" s="34">
        <v>3230</v>
      </c>
      <c r="C324" s="34">
        <v>0.96879999999999999</v>
      </c>
      <c r="D324" s="34">
        <v>335.01479999999998</v>
      </c>
      <c r="E324" s="34">
        <v>324.36511000000002</v>
      </c>
      <c r="F324" s="34">
        <v>0</v>
      </c>
      <c r="G324" s="59">
        <f t="shared" si="8"/>
        <v>0.93104805555555559</v>
      </c>
      <c r="H324" s="63">
        <f t="shared" si="9"/>
        <v>0.93061981481481493</v>
      </c>
      <c r="I324" s="65"/>
    </row>
    <row r="325" spans="1:9" x14ac:dyDescent="0.3">
      <c r="A325" s="33">
        <v>45995.429479166669</v>
      </c>
      <c r="B325" s="34">
        <v>3240</v>
      </c>
      <c r="C325" s="34">
        <v>0.96750000000000003</v>
      </c>
      <c r="D325" s="34">
        <v>334.71480000000003</v>
      </c>
      <c r="E325" s="34">
        <v>323.74011000000002</v>
      </c>
      <c r="F325" s="34">
        <v>0</v>
      </c>
      <c r="G325" s="59">
        <f t="shared" si="8"/>
        <v>0.93018000000000001</v>
      </c>
      <c r="H325" s="63">
        <f t="shared" si="9"/>
        <v>0.92978648148148157</v>
      </c>
      <c r="I325" s="65"/>
    </row>
    <row r="326" spans="1:9" x14ac:dyDescent="0.3">
      <c r="A326" s="33">
        <v>45995.429594907408</v>
      </c>
      <c r="B326" s="34">
        <v>3250</v>
      </c>
      <c r="C326" s="34">
        <v>0.96630000000000005</v>
      </c>
      <c r="D326" s="34">
        <v>334.43979999999999</v>
      </c>
      <c r="E326" s="34">
        <v>323.74011000000002</v>
      </c>
      <c r="F326" s="34">
        <v>0</v>
      </c>
      <c r="G326" s="59">
        <f t="shared" si="8"/>
        <v>0.92938138888888899</v>
      </c>
      <c r="H326" s="63">
        <f t="shared" si="9"/>
        <v>0.92899944444444449</v>
      </c>
      <c r="I326" s="65"/>
    </row>
    <row r="327" spans="1:9" x14ac:dyDescent="0.3">
      <c r="A327" s="33">
        <v>45995.429710648146</v>
      </c>
      <c r="B327" s="34">
        <v>3260</v>
      </c>
      <c r="C327" s="34">
        <v>0.96499999999999997</v>
      </c>
      <c r="D327" s="34">
        <v>334.16480000000001</v>
      </c>
      <c r="E327" s="34">
        <v>322.49016999999998</v>
      </c>
      <c r="F327" s="34">
        <v>0</v>
      </c>
      <c r="G327" s="59">
        <f t="shared" si="8"/>
        <v>0.9286175000000001</v>
      </c>
      <c r="H327" s="63">
        <f t="shared" si="9"/>
        <v>0.92823555555555559</v>
      </c>
      <c r="I327" s="65"/>
    </row>
    <row r="328" spans="1:9" x14ac:dyDescent="0.3">
      <c r="A328" s="33">
        <v>45995.429826388892</v>
      </c>
      <c r="B328" s="34">
        <v>3270</v>
      </c>
      <c r="C328" s="34">
        <v>0.96379999999999999</v>
      </c>
      <c r="D328" s="34">
        <v>333.88979999999998</v>
      </c>
      <c r="E328" s="34">
        <v>321.86516999999998</v>
      </c>
      <c r="F328" s="34">
        <v>0</v>
      </c>
      <c r="G328" s="59">
        <f t="shared" si="8"/>
        <v>0.92785361111111109</v>
      </c>
      <c r="H328" s="63">
        <f t="shared" si="9"/>
        <v>0.92749481481481477</v>
      </c>
      <c r="I328" s="65"/>
    </row>
    <row r="329" spans="1:9" x14ac:dyDescent="0.3">
      <c r="A329" s="33">
        <v>45995.429942129631</v>
      </c>
      <c r="B329" s="34">
        <v>3280</v>
      </c>
      <c r="C329" s="34">
        <v>0.96379999999999999</v>
      </c>
      <c r="D329" s="34">
        <v>333.63979999999998</v>
      </c>
      <c r="E329" s="34">
        <v>321.24020000000002</v>
      </c>
      <c r="F329" s="34">
        <v>0</v>
      </c>
      <c r="G329" s="59">
        <f t="shared" si="8"/>
        <v>0.92712444444444442</v>
      </c>
      <c r="H329" s="63">
        <f t="shared" si="9"/>
        <v>0.92677722222222225</v>
      </c>
      <c r="I329" s="65"/>
    </row>
    <row r="330" spans="1:9" x14ac:dyDescent="0.3">
      <c r="A330" s="33">
        <v>45995.43005787037</v>
      </c>
      <c r="B330" s="34">
        <v>3290</v>
      </c>
      <c r="C330" s="34">
        <v>0.96379999999999999</v>
      </c>
      <c r="D330" s="34">
        <v>333.38979999999998</v>
      </c>
      <c r="E330" s="34">
        <v>321.24020000000002</v>
      </c>
      <c r="F330" s="34">
        <v>0</v>
      </c>
      <c r="G330" s="59">
        <f t="shared" ref="G330:G393" si="10">($B$2/3600)*((D330+D329)/2)</f>
        <v>0.92642999999999998</v>
      </c>
      <c r="H330" s="63">
        <f t="shared" ref="H330:H393" si="11">($B$2/3600)*(D329/3+D330/3+D331/3)</f>
        <v>0.61761999999999995</v>
      </c>
      <c r="I330" s="66">
        <f>(C336-C330)/(D330/1000)</f>
        <v>0.90344695608563896</v>
      </c>
    </row>
    <row r="331" spans="1:9" x14ac:dyDescent="0.3">
      <c r="A331" s="33">
        <v>45995.430173611108</v>
      </c>
      <c r="B331" s="34">
        <v>3300</v>
      </c>
      <c r="C331" s="34">
        <v>1.24</v>
      </c>
      <c r="D331" s="34">
        <v>0</v>
      </c>
      <c r="E331" s="34">
        <v>0</v>
      </c>
      <c r="F331" s="34">
        <v>1</v>
      </c>
      <c r="G331" s="59">
        <f t="shared" si="10"/>
        <v>0.46304138888888891</v>
      </c>
      <c r="H331" s="63">
        <f t="shared" si="11"/>
        <v>0.30869425925925925</v>
      </c>
      <c r="I331" s="65"/>
    </row>
    <row r="332" spans="1:9" x14ac:dyDescent="0.3">
      <c r="A332" s="33">
        <v>45995.430289351854</v>
      </c>
      <c r="B332" s="34">
        <v>3310</v>
      </c>
      <c r="C332" s="34">
        <v>1.2475000000000001</v>
      </c>
      <c r="D332" s="34">
        <v>0</v>
      </c>
      <c r="E332" s="34">
        <v>0</v>
      </c>
      <c r="F332" s="34">
        <v>1</v>
      </c>
      <c r="G332" s="59">
        <f t="shared" si="10"/>
        <v>0</v>
      </c>
      <c r="H332" s="63">
        <f t="shared" si="11"/>
        <v>0</v>
      </c>
      <c r="I332" s="65"/>
    </row>
    <row r="333" spans="1:9" x14ac:dyDescent="0.3">
      <c r="A333" s="33">
        <v>45995.430405092593</v>
      </c>
      <c r="B333" s="34">
        <v>3320</v>
      </c>
      <c r="C333" s="34">
        <v>1.2537</v>
      </c>
      <c r="D333" s="34">
        <v>0</v>
      </c>
      <c r="E333" s="34">
        <v>0</v>
      </c>
      <c r="F333" s="34">
        <v>1</v>
      </c>
      <c r="G333" s="59">
        <f t="shared" si="10"/>
        <v>0</v>
      </c>
      <c r="H333" s="63">
        <f t="shared" si="11"/>
        <v>0</v>
      </c>
      <c r="I333" s="65"/>
    </row>
    <row r="334" spans="1:9" x14ac:dyDescent="0.3">
      <c r="A334" s="33">
        <v>45995.430520833332</v>
      </c>
      <c r="B334" s="34">
        <v>3330</v>
      </c>
      <c r="C334" s="34">
        <v>1.2586999999999999</v>
      </c>
      <c r="D334" s="34">
        <v>0</v>
      </c>
      <c r="E334" s="34">
        <v>0</v>
      </c>
      <c r="F334" s="34">
        <v>1</v>
      </c>
      <c r="G334" s="59">
        <f t="shared" si="10"/>
        <v>0</v>
      </c>
      <c r="H334" s="63">
        <f t="shared" si="11"/>
        <v>0</v>
      </c>
      <c r="I334" s="65"/>
    </row>
    <row r="335" spans="1:9" x14ac:dyDescent="0.3">
      <c r="A335" s="33">
        <v>45995.430636574078</v>
      </c>
      <c r="B335" s="34">
        <v>3340</v>
      </c>
      <c r="C335" s="34">
        <v>1.2613000000000001</v>
      </c>
      <c r="D335" s="34">
        <v>0</v>
      </c>
      <c r="E335" s="34">
        <v>0</v>
      </c>
      <c r="F335" s="34">
        <v>1</v>
      </c>
      <c r="G335" s="59">
        <f t="shared" si="10"/>
        <v>0</v>
      </c>
      <c r="H335" s="63">
        <f t="shared" si="11"/>
        <v>0</v>
      </c>
      <c r="I335" s="65"/>
    </row>
    <row r="336" spans="1:9" x14ac:dyDescent="0.3">
      <c r="A336" s="33">
        <v>45995.430752314816</v>
      </c>
      <c r="B336" s="34">
        <v>3350</v>
      </c>
      <c r="C336" s="34">
        <v>1.2649999999999999</v>
      </c>
      <c r="D336" s="34">
        <v>0</v>
      </c>
      <c r="E336" s="34">
        <v>0</v>
      </c>
      <c r="F336" s="34">
        <v>1</v>
      </c>
      <c r="G336" s="59">
        <f t="shared" si="10"/>
        <v>0</v>
      </c>
      <c r="H336" s="63">
        <f t="shared" si="11"/>
        <v>0.31600888888888889</v>
      </c>
      <c r="I336" s="65"/>
    </row>
    <row r="337" spans="1:9" x14ac:dyDescent="0.3">
      <c r="A337" s="33">
        <v>45995.430868055555</v>
      </c>
      <c r="B337" s="34">
        <v>3360</v>
      </c>
      <c r="C337" s="34">
        <v>0.98870000000000002</v>
      </c>
      <c r="D337" s="34">
        <v>341.28960000000001</v>
      </c>
      <c r="E337" s="34">
        <v>337.48969</v>
      </c>
      <c r="F337" s="34">
        <v>0</v>
      </c>
      <c r="G337" s="59">
        <f t="shared" si="10"/>
        <v>0.47401333333333334</v>
      </c>
      <c r="H337" s="63">
        <f t="shared" si="11"/>
        <v>0.62942527777777779</v>
      </c>
      <c r="I337" s="66">
        <f>(C336-C337)/(D337/1000)</f>
        <v>0.80957638322410019</v>
      </c>
    </row>
    <row r="338" spans="1:9" x14ac:dyDescent="0.3">
      <c r="A338" s="33">
        <v>45995.430983796294</v>
      </c>
      <c r="B338" s="34">
        <v>3370</v>
      </c>
      <c r="C338" s="34">
        <v>0.98</v>
      </c>
      <c r="D338" s="34">
        <v>338.48970000000003</v>
      </c>
      <c r="E338" s="34">
        <v>331.86487</v>
      </c>
      <c r="F338" s="34">
        <v>0</v>
      </c>
      <c r="G338" s="59">
        <f t="shared" si="10"/>
        <v>0.9441379166666668</v>
      </c>
      <c r="H338" s="63">
        <f t="shared" si="11"/>
        <v>0.94136018518518516</v>
      </c>
      <c r="I338" s="65"/>
    </row>
    <row r="339" spans="1:9" x14ac:dyDescent="0.3">
      <c r="A339" s="33">
        <v>45995.43109953704</v>
      </c>
      <c r="B339" s="34">
        <v>3380</v>
      </c>
      <c r="C339" s="34">
        <v>0.97370000000000001</v>
      </c>
      <c r="D339" s="34">
        <v>336.8897</v>
      </c>
      <c r="E339" s="34">
        <v>327.48998999999998</v>
      </c>
      <c r="F339" s="34">
        <v>0</v>
      </c>
      <c r="G339" s="59">
        <f t="shared" si="10"/>
        <v>0.93802694444444457</v>
      </c>
      <c r="H339" s="63">
        <f t="shared" si="11"/>
        <v>0.93629083333333341</v>
      </c>
      <c r="I339" s="65"/>
    </row>
    <row r="340" spans="1:9" x14ac:dyDescent="0.3">
      <c r="A340" s="33">
        <v>45995.431215277778</v>
      </c>
      <c r="B340" s="34">
        <v>3390</v>
      </c>
      <c r="C340" s="34">
        <v>0.97</v>
      </c>
      <c r="D340" s="34">
        <v>335.81470000000002</v>
      </c>
      <c r="E340" s="34">
        <v>325.61505</v>
      </c>
      <c r="F340" s="34">
        <v>0</v>
      </c>
      <c r="G340" s="59">
        <f t="shared" si="10"/>
        <v>0.93431166666666676</v>
      </c>
      <c r="H340" s="63">
        <f t="shared" si="11"/>
        <v>0.93307333333333342</v>
      </c>
      <c r="I340" s="65"/>
    </row>
    <row r="341" spans="1:9" x14ac:dyDescent="0.3">
      <c r="A341" s="33">
        <v>45995.431331018517</v>
      </c>
      <c r="B341" s="34">
        <v>3400</v>
      </c>
      <c r="C341" s="34">
        <v>0.96879999999999999</v>
      </c>
      <c r="D341" s="34">
        <v>335.01479999999998</v>
      </c>
      <c r="E341" s="34">
        <v>324.36511000000002</v>
      </c>
      <c r="F341" s="34">
        <v>0</v>
      </c>
      <c r="G341" s="59">
        <f t="shared" si="10"/>
        <v>0.93170763888888897</v>
      </c>
      <c r="H341" s="63">
        <f t="shared" si="11"/>
        <v>0.93073546296296306</v>
      </c>
      <c r="I341" s="65"/>
    </row>
    <row r="342" spans="1:9" x14ac:dyDescent="0.3">
      <c r="A342" s="33">
        <v>45995.431446759256</v>
      </c>
      <c r="B342" s="34">
        <v>3410</v>
      </c>
      <c r="C342" s="34">
        <v>0.96630000000000005</v>
      </c>
      <c r="D342" s="34">
        <v>334.3648</v>
      </c>
      <c r="E342" s="34">
        <v>322.49016999999998</v>
      </c>
      <c r="F342" s="34">
        <v>0</v>
      </c>
      <c r="G342" s="59">
        <f t="shared" si="10"/>
        <v>0.92969388888888893</v>
      </c>
      <c r="H342" s="63">
        <f t="shared" si="11"/>
        <v>0.92890685185185196</v>
      </c>
      <c r="I342" s="65"/>
    </row>
    <row r="343" spans="1:9" x14ac:dyDescent="0.3">
      <c r="A343" s="33">
        <v>45995.431562500002</v>
      </c>
      <c r="B343" s="34">
        <v>3420</v>
      </c>
      <c r="C343" s="34">
        <v>0.96379999999999999</v>
      </c>
      <c r="D343" s="34">
        <v>333.83980000000003</v>
      </c>
      <c r="E343" s="34">
        <v>321.86516999999998</v>
      </c>
      <c r="F343" s="34">
        <v>0</v>
      </c>
      <c r="G343" s="59">
        <f t="shared" si="10"/>
        <v>0.92806194444444456</v>
      </c>
      <c r="H343" s="63">
        <f t="shared" si="11"/>
        <v>0.92740222222222224</v>
      </c>
      <c r="I343" s="65"/>
    </row>
    <row r="344" spans="1:9" x14ac:dyDescent="0.3">
      <c r="A344" s="33">
        <v>45995.43167824074</v>
      </c>
      <c r="B344" s="34">
        <v>3430</v>
      </c>
      <c r="C344" s="34">
        <v>0.96379999999999999</v>
      </c>
      <c r="D344" s="34">
        <v>333.38979999999998</v>
      </c>
      <c r="E344" s="34">
        <v>321.24020000000002</v>
      </c>
      <c r="F344" s="34">
        <v>0</v>
      </c>
      <c r="G344" s="59">
        <f t="shared" si="10"/>
        <v>0.9267077777777778</v>
      </c>
      <c r="H344" s="63">
        <f t="shared" si="11"/>
        <v>0.92612907407407419</v>
      </c>
      <c r="I344" s="65"/>
    </row>
    <row r="345" spans="1:9" x14ac:dyDescent="0.3">
      <c r="A345" s="33">
        <v>45995.431793981479</v>
      </c>
      <c r="B345" s="34">
        <v>3440</v>
      </c>
      <c r="C345" s="34">
        <v>0.96130000000000004</v>
      </c>
      <c r="D345" s="34">
        <v>332.9898</v>
      </c>
      <c r="E345" s="34">
        <v>320.61520000000002</v>
      </c>
      <c r="F345" s="34">
        <v>0</v>
      </c>
      <c r="G345" s="59">
        <f t="shared" si="10"/>
        <v>0.92552722222222228</v>
      </c>
      <c r="H345" s="63">
        <f t="shared" si="11"/>
        <v>0.92499481481481483</v>
      </c>
      <c r="I345" s="65"/>
    </row>
    <row r="346" spans="1:9" x14ac:dyDescent="0.3">
      <c r="A346" s="33">
        <v>45995.431909722225</v>
      </c>
      <c r="B346" s="34">
        <v>3450</v>
      </c>
      <c r="C346" s="34">
        <v>0.96</v>
      </c>
      <c r="D346" s="34">
        <v>332.6148</v>
      </c>
      <c r="E346" s="34">
        <v>319.36525999999998</v>
      </c>
      <c r="F346" s="34">
        <v>0</v>
      </c>
      <c r="G346" s="59">
        <f t="shared" si="10"/>
        <v>0.92445083333333333</v>
      </c>
      <c r="H346" s="63">
        <f t="shared" si="11"/>
        <v>0.92395324074074081</v>
      </c>
      <c r="I346" s="65"/>
    </row>
    <row r="347" spans="1:9" x14ac:dyDescent="0.3">
      <c r="A347" s="33">
        <v>45995.432025462964</v>
      </c>
      <c r="B347" s="34">
        <v>3460</v>
      </c>
      <c r="C347" s="34">
        <v>0.96</v>
      </c>
      <c r="D347" s="34">
        <v>332.26490000000001</v>
      </c>
      <c r="E347" s="34">
        <v>318.74025999999998</v>
      </c>
      <c r="F347" s="34">
        <v>0</v>
      </c>
      <c r="G347" s="59">
        <f t="shared" si="10"/>
        <v>0.92344402777777779</v>
      </c>
      <c r="H347" s="63">
        <f t="shared" si="11"/>
        <v>0.92300416666666685</v>
      </c>
      <c r="I347" s="65"/>
    </row>
    <row r="348" spans="1:9" x14ac:dyDescent="0.3">
      <c r="A348" s="33">
        <v>45995.432141203702</v>
      </c>
      <c r="B348" s="34">
        <v>3470</v>
      </c>
      <c r="C348" s="34">
        <v>0.9587</v>
      </c>
      <c r="D348" s="34">
        <v>331.96480000000003</v>
      </c>
      <c r="E348" s="34">
        <v>318.11529999999999</v>
      </c>
      <c r="F348" s="34">
        <v>0</v>
      </c>
      <c r="G348" s="59">
        <f t="shared" si="10"/>
        <v>0.9225412500000002</v>
      </c>
      <c r="H348" s="63">
        <f t="shared" si="11"/>
        <v>0.92212462962962971</v>
      </c>
      <c r="I348" s="65"/>
    </row>
    <row r="349" spans="1:9" x14ac:dyDescent="0.3">
      <c r="A349" s="33">
        <v>45995.432256944441</v>
      </c>
      <c r="B349" s="34">
        <v>3480</v>
      </c>
      <c r="C349" s="34">
        <v>0.96</v>
      </c>
      <c r="D349" s="34">
        <v>331.66489999999999</v>
      </c>
      <c r="E349" s="34">
        <v>318.74025999999998</v>
      </c>
      <c r="F349" s="34">
        <v>0</v>
      </c>
      <c r="G349" s="59">
        <f t="shared" si="10"/>
        <v>0.92170791666666663</v>
      </c>
      <c r="H349" s="63">
        <f t="shared" si="11"/>
        <v>0.92131444444444455</v>
      </c>
      <c r="I349" s="65"/>
    </row>
    <row r="350" spans="1:9" x14ac:dyDescent="0.3">
      <c r="A350" s="33">
        <v>45995.432372685187</v>
      </c>
      <c r="B350" s="34">
        <v>3490</v>
      </c>
      <c r="C350" s="34">
        <v>0.95620000000000005</v>
      </c>
      <c r="D350" s="34">
        <v>331.38990000000001</v>
      </c>
      <c r="E350" s="34">
        <v>316.86532999999997</v>
      </c>
      <c r="F350" s="34">
        <v>0</v>
      </c>
      <c r="G350" s="59">
        <f t="shared" si="10"/>
        <v>0.92090944444444445</v>
      </c>
      <c r="H350" s="63">
        <f t="shared" si="11"/>
        <v>0.92055064814814824</v>
      </c>
      <c r="I350" s="65"/>
    </row>
    <row r="351" spans="1:9" x14ac:dyDescent="0.3">
      <c r="A351" s="33">
        <v>45995.432488425926</v>
      </c>
      <c r="B351" s="34">
        <v>3500</v>
      </c>
      <c r="C351" s="34">
        <v>0.9587</v>
      </c>
      <c r="D351" s="34">
        <v>331.13990000000001</v>
      </c>
      <c r="E351" s="34">
        <v>317.49029999999999</v>
      </c>
      <c r="F351" s="34">
        <v>0</v>
      </c>
      <c r="G351" s="59">
        <f t="shared" si="10"/>
        <v>0.92018027777777789</v>
      </c>
      <c r="H351" s="63">
        <f t="shared" si="11"/>
        <v>0.91980990740740753</v>
      </c>
      <c r="I351" s="65"/>
    </row>
    <row r="352" spans="1:9" x14ac:dyDescent="0.3">
      <c r="A352" s="33">
        <v>45995.432604166665</v>
      </c>
      <c r="B352" s="34">
        <v>3510</v>
      </c>
      <c r="C352" s="34">
        <v>0.9587</v>
      </c>
      <c r="D352" s="34">
        <v>330.86489999999998</v>
      </c>
      <c r="E352" s="34">
        <v>317.49029999999999</v>
      </c>
      <c r="F352" s="34">
        <v>0</v>
      </c>
      <c r="G352" s="59">
        <f t="shared" si="10"/>
        <v>0.919451111111111</v>
      </c>
      <c r="H352" s="63">
        <f t="shared" si="11"/>
        <v>0.91911546296296309</v>
      </c>
      <c r="I352" s="65"/>
    </row>
    <row r="353" spans="1:9" x14ac:dyDescent="0.3">
      <c r="A353" s="33">
        <v>45995.432719907411</v>
      </c>
      <c r="B353" s="34">
        <v>3520</v>
      </c>
      <c r="C353" s="34">
        <v>0.95750000000000002</v>
      </c>
      <c r="D353" s="34">
        <v>330.63990000000001</v>
      </c>
      <c r="E353" s="34">
        <v>316.24036000000001</v>
      </c>
      <c r="F353" s="34">
        <v>0</v>
      </c>
      <c r="G353" s="59">
        <f t="shared" si="10"/>
        <v>0.91875666666666655</v>
      </c>
      <c r="H353" s="63">
        <f t="shared" si="11"/>
        <v>0.91839787037037035</v>
      </c>
      <c r="I353" s="65"/>
    </row>
    <row r="354" spans="1:9" x14ac:dyDescent="0.3">
      <c r="A354" s="33">
        <v>45995.432835648149</v>
      </c>
      <c r="B354" s="34">
        <v>3530</v>
      </c>
      <c r="C354" s="34">
        <v>0.95620000000000005</v>
      </c>
      <c r="D354" s="34">
        <v>330.36489999999998</v>
      </c>
      <c r="E354" s="34">
        <v>315.61536000000001</v>
      </c>
      <c r="F354" s="34">
        <v>0</v>
      </c>
      <c r="G354" s="59">
        <f t="shared" si="10"/>
        <v>0.91806222222222211</v>
      </c>
      <c r="H354" s="63">
        <f t="shared" si="11"/>
        <v>0.61204148148148141</v>
      </c>
      <c r="I354" s="66">
        <f>(C360-C354)/(D354/1000)</f>
        <v>0.91565417512574709</v>
      </c>
    </row>
    <row r="355" spans="1:9" x14ac:dyDescent="0.3">
      <c r="A355" s="33">
        <v>45995.432951388888</v>
      </c>
      <c r="B355" s="34">
        <v>3540</v>
      </c>
      <c r="C355" s="34">
        <v>1.2337</v>
      </c>
      <c r="D355" s="34">
        <v>0</v>
      </c>
      <c r="E355" s="34">
        <v>0</v>
      </c>
      <c r="F355" s="34">
        <v>1</v>
      </c>
      <c r="G355" s="59">
        <f t="shared" si="10"/>
        <v>0.45884013888888886</v>
      </c>
      <c r="H355" s="63">
        <f t="shared" si="11"/>
        <v>0.30589342592592589</v>
      </c>
      <c r="I355" s="65"/>
    </row>
    <row r="356" spans="1:9" x14ac:dyDescent="0.3">
      <c r="A356" s="33">
        <v>45995.433067129627</v>
      </c>
      <c r="B356" s="34">
        <v>3550</v>
      </c>
      <c r="C356" s="34">
        <v>1.2424999999999999</v>
      </c>
      <c r="D356" s="34">
        <v>0</v>
      </c>
      <c r="E356" s="34">
        <v>0</v>
      </c>
      <c r="F356" s="34">
        <v>1</v>
      </c>
      <c r="G356" s="59">
        <f t="shared" si="10"/>
        <v>0</v>
      </c>
      <c r="H356" s="63">
        <f t="shared" si="11"/>
        <v>0</v>
      </c>
      <c r="I356" s="65"/>
    </row>
    <row r="357" spans="1:9" x14ac:dyDescent="0.3">
      <c r="A357" s="33">
        <v>45995.433182870373</v>
      </c>
      <c r="B357" s="34">
        <v>3560</v>
      </c>
      <c r="C357" s="34">
        <v>1.2475000000000001</v>
      </c>
      <c r="D357" s="34">
        <v>0</v>
      </c>
      <c r="E357" s="34">
        <v>0</v>
      </c>
      <c r="F357" s="34">
        <v>1</v>
      </c>
      <c r="G357" s="59">
        <f t="shared" si="10"/>
        <v>0</v>
      </c>
      <c r="H357" s="63">
        <f t="shared" si="11"/>
        <v>0</v>
      </c>
      <c r="I357" s="65"/>
    </row>
    <row r="358" spans="1:9" x14ac:dyDescent="0.3">
      <c r="A358" s="33">
        <v>45995.433298611111</v>
      </c>
      <c r="B358" s="34">
        <v>3570</v>
      </c>
      <c r="C358" s="34">
        <v>1.2524999999999999</v>
      </c>
      <c r="D358" s="34">
        <v>0</v>
      </c>
      <c r="E358" s="34">
        <v>0</v>
      </c>
      <c r="F358" s="34">
        <v>1</v>
      </c>
      <c r="G358" s="59">
        <f t="shared" si="10"/>
        <v>0</v>
      </c>
      <c r="H358" s="63">
        <f t="shared" si="11"/>
        <v>0</v>
      </c>
      <c r="I358" s="65"/>
    </row>
    <row r="359" spans="1:9" x14ac:dyDescent="0.3">
      <c r="A359" s="33">
        <v>45995.43341435185</v>
      </c>
      <c r="B359" s="34">
        <v>3580</v>
      </c>
      <c r="C359" s="34">
        <v>1.2575000000000001</v>
      </c>
      <c r="D359" s="34">
        <v>0</v>
      </c>
      <c r="E359" s="34">
        <v>0</v>
      </c>
      <c r="F359" s="34">
        <v>1</v>
      </c>
      <c r="G359" s="59">
        <f t="shared" si="10"/>
        <v>0</v>
      </c>
      <c r="H359" s="63">
        <f t="shared" si="11"/>
        <v>0</v>
      </c>
      <c r="I359" s="65"/>
    </row>
    <row r="360" spans="1:9" x14ac:dyDescent="0.3">
      <c r="A360" s="33">
        <v>45995.433530092596</v>
      </c>
      <c r="B360" s="34">
        <v>3590</v>
      </c>
      <c r="C360" s="34">
        <v>1.2586999999999999</v>
      </c>
      <c r="D360" s="34">
        <v>0</v>
      </c>
      <c r="E360" s="34">
        <v>0</v>
      </c>
      <c r="F360" s="34">
        <v>1</v>
      </c>
      <c r="G360" s="59">
        <f t="shared" si="10"/>
        <v>0</v>
      </c>
      <c r="H360" s="63">
        <f t="shared" si="11"/>
        <v>0.31332370370370372</v>
      </c>
      <c r="I360" s="65"/>
    </row>
    <row r="361" spans="1:9" x14ac:dyDescent="0.3">
      <c r="A361" s="33">
        <v>45995.433645833335</v>
      </c>
      <c r="B361" s="34">
        <v>3600</v>
      </c>
      <c r="C361" s="34">
        <v>0.98</v>
      </c>
      <c r="D361" s="34">
        <v>338.38959999999997</v>
      </c>
      <c r="E361" s="34">
        <v>331.23989999999998</v>
      </c>
      <c r="F361" s="34">
        <v>0</v>
      </c>
      <c r="G361" s="59">
        <f t="shared" si="10"/>
        <v>0.46998555555555555</v>
      </c>
      <c r="H361" s="63">
        <f t="shared" si="11"/>
        <v>0.62400870370370376</v>
      </c>
      <c r="I361" s="66">
        <f>(C360-C361)/(D361/1000)</f>
        <v>0.82360687207881089</v>
      </c>
    </row>
    <row r="362" spans="1:9" x14ac:dyDescent="0.3">
      <c r="A362" s="33">
        <v>45995.433761574073</v>
      </c>
      <c r="B362" s="34">
        <v>3610</v>
      </c>
      <c r="C362" s="34">
        <v>0.97</v>
      </c>
      <c r="D362" s="34">
        <v>335.53980000000001</v>
      </c>
      <c r="E362" s="34">
        <v>325.61505</v>
      </c>
      <c r="F362" s="34">
        <v>0</v>
      </c>
      <c r="G362" s="59">
        <f t="shared" si="10"/>
        <v>0.93601305555555558</v>
      </c>
      <c r="H362" s="63">
        <f t="shared" si="11"/>
        <v>0.93321222222222233</v>
      </c>
      <c r="I362" s="65"/>
    </row>
    <row r="363" spans="1:9" x14ac:dyDescent="0.3">
      <c r="A363" s="33">
        <v>45995.433877314812</v>
      </c>
      <c r="B363" s="34">
        <v>3620</v>
      </c>
      <c r="C363" s="34">
        <v>0.96499999999999997</v>
      </c>
      <c r="D363" s="34">
        <v>333.93979999999999</v>
      </c>
      <c r="E363" s="34">
        <v>321.86516999999998</v>
      </c>
      <c r="F363" s="34">
        <v>0</v>
      </c>
      <c r="G363" s="59">
        <f t="shared" si="10"/>
        <v>0.92983277777777784</v>
      </c>
      <c r="H363" s="63">
        <f t="shared" si="11"/>
        <v>0.92809666666666668</v>
      </c>
      <c r="I363" s="65"/>
    </row>
    <row r="364" spans="1:9" x14ac:dyDescent="0.3">
      <c r="A364" s="33">
        <v>45995.433993055558</v>
      </c>
      <c r="B364" s="34">
        <v>3630</v>
      </c>
      <c r="C364" s="34">
        <v>0.96130000000000004</v>
      </c>
      <c r="D364" s="34">
        <v>332.8648</v>
      </c>
      <c r="E364" s="34">
        <v>319.36525999999998</v>
      </c>
      <c r="F364" s="34">
        <v>0</v>
      </c>
      <c r="G364" s="59">
        <f t="shared" si="10"/>
        <v>0.92611749999999993</v>
      </c>
      <c r="H364" s="63">
        <f t="shared" si="11"/>
        <v>0.92490222222222218</v>
      </c>
      <c r="I364" s="65"/>
    </row>
    <row r="365" spans="1:9" x14ac:dyDescent="0.3">
      <c r="A365" s="33">
        <v>45995.434108796297</v>
      </c>
      <c r="B365" s="34">
        <v>3640</v>
      </c>
      <c r="C365" s="34">
        <v>0.9587</v>
      </c>
      <c r="D365" s="34">
        <v>332.08980000000003</v>
      </c>
      <c r="E365" s="34">
        <v>318.74025999999998</v>
      </c>
      <c r="F365" s="34">
        <v>0</v>
      </c>
      <c r="G365" s="59">
        <f t="shared" si="10"/>
        <v>0.92354805555555564</v>
      </c>
      <c r="H365" s="63">
        <f t="shared" si="11"/>
        <v>0.92261064814814819</v>
      </c>
      <c r="I365" s="65"/>
    </row>
    <row r="366" spans="1:9" x14ac:dyDescent="0.3">
      <c r="A366" s="33">
        <v>45995.434224537035</v>
      </c>
      <c r="B366" s="34">
        <v>3650</v>
      </c>
      <c r="C366" s="34">
        <v>0.96</v>
      </c>
      <c r="D366" s="34">
        <v>331.4649</v>
      </c>
      <c r="E366" s="34">
        <v>318.74025999999998</v>
      </c>
      <c r="F366" s="34">
        <v>0</v>
      </c>
      <c r="G366" s="59">
        <f t="shared" si="10"/>
        <v>0.92160375000000005</v>
      </c>
      <c r="H366" s="63">
        <f t="shared" si="11"/>
        <v>0.92085148148148144</v>
      </c>
      <c r="I366" s="65"/>
    </row>
    <row r="367" spans="1:9" x14ac:dyDescent="0.3">
      <c r="A367" s="33">
        <v>45995.434340277781</v>
      </c>
      <c r="B367" s="34">
        <v>3660</v>
      </c>
      <c r="C367" s="34">
        <v>0.9587</v>
      </c>
      <c r="D367" s="34">
        <v>330.9649</v>
      </c>
      <c r="E367" s="34">
        <v>317.49029999999999</v>
      </c>
      <c r="F367" s="34">
        <v>0</v>
      </c>
      <c r="G367" s="59">
        <f t="shared" si="10"/>
        <v>0.92004138888888898</v>
      </c>
      <c r="H367" s="63">
        <f t="shared" si="11"/>
        <v>0.91939324074074069</v>
      </c>
      <c r="I367" s="65"/>
    </row>
    <row r="368" spans="1:9" x14ac:dyDescent="0.3">
      <c r="A368" s="33">
        <v>45995.43445601852</v>
      </c>
      <c r="B368" s="34">
        <v>3670</v>
      </c>
      <c r="C368" s="34">
        <v>0.95620000000000005</v>
      </c>
      <c r="D368" s="34">
        <v>330.51490000000001</v>
      </c>
      <c r="E368" s="34">
        <v>316.24036000000001</v>
      </c>
      <c r="F368" s="34">
        <v>0</v>
      </c>
      <c r="G368" s="59">
        <f t="shared" si="10"/>
        <v>0.91872194444444455</v>
      </c>
      <c r="H368" s="63">
        <f t="shared" si="11"/>
        <v>0.91816638888888891</v>
      </c>
      <c r="I368" s="65"/>
    </row>
    <row r="369" spans="1:9" x14ac:dyDescent="0.3">
      <c r="A369" s="33">
        <v>45995.434571759259</v>
      </c>
      <c r="B369" s="34">
        <v>3680</v>
      </c>
      <c r="C369" s="34">
        <v>0.95499999999999996</v>
      </c>
      <c r="D369" s="34">
        <v>330.13990000000001</v>
      </c>
      <c r="E369" s="34">
        <v>315.61536000000001</v>
      </c>
      <c r="F369" s="34">
        <v>0</v>
      </c>
      <c r="G369" s="59">
        <f t="shared" si="10"/>
        <v>0.91757611111111115</v>
      </c>
      <c r="H369" s="63">
        <f t="shared" si="11"/>
        <v>0.91707842592592592</v>
      </c>
      <c r="I369" s="65"/>
    </row>
    <row r="370" spans="1:9" x14ac:dyDescent="0.3">
      <c r="A370" s="33">
        <v>45995.434687499997</v>
      </c>
      <c r="B370" s="34">
        <v>3690</v>
      </c>
      <c r="C370" s="34">
        <v>0.95499999999999996</v>
      </c>
      <c r="D370" s="34">
        <v>329.78989999999999</v>
      </c>
      <c r="E370" s="34">
        <v>314.99038999999999</v>
      </c>
      <c r="F370" s="34">
        <v>0</v>
      </c>
      <c r="G370" s="59">
        <f t="shared" si="10"/>
        <v>0.91656916666666666</v>
      </c>
      <c r="H370" s="63">
        <f t="shared" si="11"/>
        <v>0.91612935185185185</v>
      </c>
      <c r="I370" s="65"/>
    </row>
    <row r="371" spans="1:9" x14ac:dyDescent="0.3">
      <c r="A371" s="33">
        <v>45995.434803240743</v>
      </c>
      <c r="B371" s="34">
        <v>3700</v>
      </c>
      <c r="C371" s="34">
        <v>0.95369999999999999</v>
      </c>
      <c r="D371" s="34">
        <v>329.48989999999998</v>
      </c>
      <c r="E371" s="34">
        <v>314.36541999999997</v>
      </c>
      <c r="F371" s="34">
        <v>0</v>
      </c>
      <c r="G371" s="59">
        <f t="shared" si="10"/>
        <v>0.91566638888888896</v>
      </c>
      <c r="H371" s="63">
        <f t="shared" si="11"/>
        <v>0.91524972222222223</v>
      </c>
      <c r="I371" s="65"/>
    </row>
    <row r="372" spans="1:9" x14ac:dyDescent="0.3">
      <c r="A372" s="33">
        <v>45995.434918981482</v>
      </c>
      <c r="B372" s="34">
        <v>3710</v>
      </c>
      <c r="C372" s="34">
        <v>0.95250000000000001</v>
      </c>
      <c r="D372" s="34">
        <v>329.18990000000002</v>
      </c>
      <c r="E372" s="34">
        <v>313.11545000000001</v>
      </c>
      <c r="F372" s="34">
        <v>0</v>
      </c>
      <c r="G372" s="59">
        <f t="shared" si="10"/>
        <v>0.91483305555555561</v>
      </c>
      <c r="H372" s="63">
        <f t="shared" si="11"/>
        <v>0.91443953703703706</v>
      </c>
      <c r="I372" s="65"/>
    </row>
    <row r="373" spans="1:9" x14ac:dyDescent="0.3">
      <c r="A373" s="33">
        <v>45995.435034722221</v>
      </c>
      <c r="B373" s="34">
        <v>3720</v>
      </c>
      <c r="C373" s="34">
        <v>0.95120000000000005</v>
      </c>
      <c r="D373" s="34">
        <v>328.91489999999999</v>
      </c>
      <c r="E373" s="34">
        <v>313.11545000000001</v>
      </c>
      <c r="F373" s="34">
        <v>0</v>
      </c>
      <c r="G373" s="59">
        <f t="shared" si="10"/>
        <v>0.91403444444444459</v>
      </c>
      <c r="H373" s="63">
        <f t="shared" si="11"/>
        <v>0.91367564814814817</v>
      </c>
      <c r="I373" s="65"/>
    </row>
    <row r="374" spans="1:9" x14ac:dyDescent="0.3">
      <c r="A374" s="33">
        <v>45995.435150462959</v>
      </c>
      <c r="B374" s="34">
        <v>3730</v>
      </c>
      <c r="C374" s="34">
        <v>0.95</v>
      </c>
      <c r="D374" s="34">
        <v>328.66489999999999</v>
      </c>
      <c r="E374" s="34">
        <v>312.49047999999999</v>
      </c>
      <c r="F374" s="34">
        <v>0</v>
      </c>
      <c r="G374" s="59">
        <f t="shared" si="10"/>
        <v>0.91330527777777781</v>
      </c>
      <c r="H374" s="63">
        <f t="shared" si="11"/>
        <v>0.91295814814814824</v>
      </c>
      <c r="I374" s="65"/>
    </row>
    <row r="375" spans="1:9" x14ac:dyDescent="0.3">
      <c r="A375" s="33">
        <v>45995.435266203705</v>
      </c>
      <c r="B375" s="34">
        <v>3740</v>
      </c>
      <c r="C375" s="34">
        <v>0.95</v>
      </c>
      <c r="D375" s="34">
        <v>328.41500000000002</v>
      </c>
      <c r="E375" s="34">
        <v>311.86547999999999</v>
      </c>
      <c r="F375" s="34">
        <v>0</v>
      </c>
      <c r="G375" s="59">
        <f t="shared" si="10"/>
        <v>0.91261097222222221</v>
      </c>
      <c r="H375" s="63">
        <f t="shared" si="11"/>
        <v>0.91231009259259255</v>
      </c>
      <c r="I375" s="65"/>
    </row>
    <row r="376" spans="1:9" x14ac:dyDescent="0.3">
      <c r="A376" s="33">
        <v>45995.435381944444</v>
      </c>
      <c r="B376" s="34">
        <v>3750</v>
      </c>
      <c r="C376" s="34">
        <v>0.94869999999999999</v>
      </c>
      <c r="D376" s="34">
        <v>328.21499999999997</v>
      </c>
      <c r="E376" s="34">
        <v>311.24050999999997</v>
      </c>
      <c r="F376" s="34">
        <v>0</v>
      </c>
      <c r="G376" s="59">
        <f t="shared" si="10"/>
        <v>0.91198611111111116</v>
      </c>
      <c r="H376" s="63">
        <f t="shared" si="11"/>
        <v>0.91168518518518515</v>
      </c>
      <c r="I376" s="65"/>
    </row>
    <row r="377" spans="1:9" x14ac:dyDescent="0.3">
      <c r="A377" s="33">
        <v>45995.435497685183</v>
      </c>
      <c r="B377" s="34">
        <v>3760</v>
      </c>
      <c r="C377" s="34">
        <v>0.94869999999999999</v>
      </c>
      <c r="D377" s="34">
        <v>327.99</v>
      </c>
      <c r="E377" s="34">
        <v>311.24050999999997</v>
      </c>
      <c r="F377" s="34">
        <v>0</v>
      </c>
      <c r="G377" s="59">
        <f t="shared" si="10"/>
        <v>0.91139583333333329</v>
      </c>
      <c r="H377" s="63">
        <f t="shared" si="11"/>
        <v>0.91108333333333336</v>
      </c>
      <c r="I377" s="65"/>
    </row>
    <row r="378" spans="1:9" x14ac:dyDescent="0.3">
      <c r="A378" s="33">
        <v>45995.435613425929</v>
      </c>
      <c r="B378" s="34">
        <v>3770</v>
      </c>
      <c r="C378" s="34">
        <v>0.94869999999999999</v>
      </c>
      <c r="D378" s="34">
        <v>327.76499999999999</v>
      </c>
      <c r="E378" s="34">
        <v>311.24050999999997</v>
      </c>
      <c r="F378" s="34">
        <v>0</v>
      </c>
      <c r="G378" s="59">
        <f t="shared" si="10"/>
        <v>0.91077083333333331</v>
      </c>
      <c r="H378" s="63">
        <f t="shared" si="11"/>
        <v>0.6071805555555555</v>
      </c>
      <c r="I378" s="66">
        <f>(C384-C378)/(D378/1000)</f>
        <v>0.93451100636126472</v>
      </c>
    </row>
    <row r="379" spans="1:9" x14ac:dyDescent="0.3">
      <c r="A379" s="33">
        <v>45995.435729166667</v>
      </c>
      <c r="B379" s="34">
        <v>3780</v>
      </c>
      <c r="C379" s="34">
        <v>1.2286999999999999</v>
      </c>
      <c r="D379" s="34">
        <v>0</v>
      </c>
      <c r="E379" s="34">
        <v>0</v>
      </c>
      <c r="F379" s="34">
        <v>1</v>
      </c>
      <c r="G379" s="59">
        <f t="shared" si="10"/>
        <v>0.45522916666666668</v>
      </c>
      <c r="H379" s="63">
        <f t="shared" si="11"/>
        <v>0.30348611111111112</v>
      </c>
      <c r="I379" s="65"/>
    </row>
    <row r="380" spans="1:9" x14ac:dyDescent="0.3">
      <c r="A380" s="33">
        <v>45995.435844907406</v>
      </c>
      <c r="B380" s="34">
        <v>3790</v>
      </c>
      <c r="C380" s="34">
        <v>1.2375</v>
      </c>
      <c r="D380" s="34">
        <v>0</v>
      </c>
      <c r="E380" s="34">
        <v>0</v>
      </c>
      <c r="F380" s="34">
        <v>1</v>
      </c>
      <c r="G380" s="59">
        <f t="shared" si="10"/>
        <v>0</v>
      </c>
      <c r="H380" s="63">
        <f t="shared" si="11"/>
        <v>0</v>
      </c>
      <c r="I380" s="65"/>
    </row>
    <row r="381" spans="1:9" x14ac:dyDescent="0.3">
      <c r="A381" s="33">
        <v>45995.435960648145</v>
      </c>
      <c r="B381" s="34">
        <v>3800</v>
      </c>
      <c r="C381" s="34">
        <v>1.2424999999999999</v>
      </c>
      <c r="D381" s="34">
        <v>0</v>
      </c>
      <c r="E381" s="34">
        <v>0</v>
      </c>
      <c r="F381" s="34">
        <v>1</v>
      </c>
      <c r="G381" s="59">
        <f t="shared" si="10"/>
        <v>0</v>
      </c>
      <c r="H381" s="63">
        <f t="shared" si="11"/>
        <v>0</v>
      </c>
      <c r="I381" s="65"/>
    </row>
    <row r="382" spans="1:9" x14ac:dyDescent="0.3">
      <c r="A382" s="33">
        <v>45995.436076388891</v>
      </c>
      <c r="B382" s="34">
        <v>3810</v>
      </c>
      <c r="C382" s="34">
        <v>1.2475000000000001</v>
      </c>
      <c r="D382" s="34">
        <v>0</v>
      </c>
      <c r="E382" s="34">
        <v>0</v>
      </c>
      <c r="F382" s="34">
        <v>1</v>
      </c>
      <c r="G382" s="59">
        <f t="shared" si="10"/>
        <v>0</v>
      </c>
      <c r="H382" s="63">
        <f t="shared" si="11"/>
        <v>0</v>
      </c>
      <c r="I382" s="65"/>
    </row>
    <row r="383" spans="1:9" x14ac:dyDescent="0.3">
      <c r="A383" s="33">
        <v>45995.436192129629</v>
      </c>
      <c r="B383" s="34">
        <v>3820</v>
      </c>
      <c r="C383" s="34">
        <v>1.2513000000000001</v>
      </c>
      <c r="D383" s="34">
        <v>0</v>
      </c>
      <c r="E383" s="34">
        <v>0</v>
      </c>
      <c r="F383" s="34">
        <v>1</v>
      </c>
      <c r="G383" s="59">
        <f t="shared" si="10"/>
        <v>0</v>
      </c>
      <c r="H383" s="63">
        <f t="shared" si="11"/>
        <v>0</v>
      </c>
      <c r="I383" s="65"/>
    </row>
    <row r="384" spans="1:9" x14ac:dyDescent="0.3">
      <c r="A384" s="33">
        <v>45995.436307870368</v>
      </c>
      <c r="B384" s="34">
        <v>3830</v>
      </c>
      <c r="C384" s="34">
        <v>1.2549999999999999</v>
      </c>
      <c r="D384" s="34">
        <v>0</v>
      </c>
      <c r="E384" s="34">
        <v>0</v>
      </c>
      <c r="F384" s="34">
        <v>1</v>
      </c>
      <c r="G384" s="59">
        <f t="shared" si="10"/>
        <v>0</v>
      </c>
      <c r="H384" s="63">
        <f t="shared" si="11"/>
        <v>0.31117101851851853</v>
      </c>
      <c r="I384" s="65"/>
    </row>
    <row r="385" spans="1:9" x14ac:dyDescent="0.3">
      <c r="A385" s="33">
        <v>45995.436423611114</v>
      </c>
      <c r="B385" s="34">
        <v>3840</v>
      </c>
      <c r="C385" s="34">
        <v>0.97119999999999995</v>
      </c>
      <c r="D385" s="34">
        <v>336.06470000000002</v>
      </c>
      <c r="E385" s="34">
        <v>326.86502000000002</v>
      </c>
      <c r="F385" s="34">
        <v>0</v>
      </c>
      <c r="G385" s="59">
        <f t="shared" si="10"/>
        <v>0.46675652777777782</v>
      </c>
      <c r="H385" s="63">
        <f t="shared" si="11"/>
        <v>0.61963379629629634</v>
      </c>
      <c r="I385" s="66">
        <f>(C384-C385)/(D385/1000)</f>
        <v>0.84448024442912317</v>
      </c>
    </row>
    <row r="386" spans="1:9" x14ac:dyDescent="0.3">
      <c r="A386" s="33">
        <v>45995.436539351853</v>
      </c>
      <c r="B386" s="34">
        <v>3850</v>
      </c>
      <c r="C386" s="34">
        <v>0.96250000000000002</v>
      </c>
      <c r="D386" s="34">
        <v>333.13979999999998</v>
      </c>
      <c r="E386" s="34">
        <v>320.61520000000002</v>
      </c>
      <c r="F386" s="34">
        <v>0</v>
      </c>
      <c r="G386" s="59">
        <f t="shared" si="10"/>
        <v>0.9294506944444445</v>
      </c>
      <c r="H386" s="63">
        <f t="shared" si="11"/>
        <v>0.92659203703703719</v>
      </c>
      <c r="I386" s="65"/>
    </row>
    <row r="387" spans="1:9" x14ac:dyDescent="0.3">
      <c r="A387" s="33">
        <v>45995.436655092592</v>
      </c>
      <c r="B387" s="34">
        <v>3860</v>
      </c>
      <c r="C387" s="34">
        <v>0.95750000000000002</v>
      </c>
      <c r="D387" s="34">
        <v>331.51490000000001</v>
      </c>
      <c r="E387" s="34">
        <v>317.49029999999999</v>
      </c>
      <c r="F387" s="34">
        <v>0</v>
      </c>
      <c r="G387" s="59">
        <f t="shared" si="10"/>
        <v>0.92313152777777785</v>
      </c>
      <c r="H387" s="63">
        <f t="shared" si="11"/>
        <v>0.921383888888889</v>
      </c>
      <c r="I387" s="65"/>
    </row>
    <row r="388" spans="1:9" x14ac:dyDescent="0.3">
      <c r="A388" s="33">
        <v>45995.43677083333</v>
      </c>
      <c r="B388" s="34">
        <v>3870</v>
      </c>
      <c r="C388" s="34">
        <v>0.95620000000000005</v>
      </c>
      <c r="D388" s="34">
        <v>330.43990000000002</v>
      </c>
      <c r="E388" s="34">
        <v>316.24036000000001</v>
      </c>
      <c r="F388" s="34">
        <v>0</v>
      </c>
      <c r="G388" s="59">
        <f t="shared" si="10"/>
        <v>0.91938166666666665</v>
      </c>
      <c r="H388" s="63">
        <f t="shared" si="11"/>
        <v>0.91816638888888902</v>
      </c>
      <c r="I388" s="65"/>
    </row>
    <row r="389" spans="1:9" x14ac:dyDescent="0.3">
      <c r="A389" s="33">
        <v>45995.436886574076</v>
      </c>
      <c r="B389" s="34">
        <v>3880</v>
      </c>
      <c r="C389" s="34">
        <v>0.95369999999999999</v>
      </c>
      <c r="D389" s="34">
        <v>329.66489999999999</v>
      </c>
      <c r="E389" s="34">
        <v>314.36541999999997</v>
      </c>
      <c r="F389" s="34">
        <v>0</v>
      </c>
      <c r="G389" s="59">
        <f t="shared" si="10"/>
        <v>0.91681222222222236</v>
      </c>
      <c r="H389" s="63">
        <f t="shared" si="11"/>
        <v>0.91587472222222222</v>
      </c>
      <c r="I389" s="65"/>
    </row>
    <row r="390" spans="1:9" x14ac:dyDescent="0.3">
      <c r="A390" s="33">
        <v>45995.437002314815</v>
      </c>
      <c r="B390" s="34">
        <v>3890</v>
      </c>
      <c r="C390" s="34">
        <v>0.95120000000000005</v>
      </c>
      <c r="D390" s="34">
        <v>329.03989999999999</v>
      </c>
      <c r="E390" s="34">
        <v>313.11545000000001</v>
      </c>
      <c r="F390" s="34">
        <v>0</v>
      </c>
      <c r="G390" s="59">
        <f t="shared" si="10"/>
        <v>0.91486777777777784</v>
      </c>
      <c r="H390" s="63">
        <f t="shared" si="11"/>
        <v>0.91411555555555557</v>
      </c>
      <c r="I390" s="65"/>
    </row>
    <row r="391" spans="1:9" x14ac:dyDescent="0.3">
      <c r="A391" s="33">
        <v>45995.43712962963</v>
      </c>
      <c r="B391" s="34">
        <v>3900</v>
      </c>
      <c r="C391" s="34">
        <v>0.95</v>
      </c>
      <c r="D391" s="34">
        <v>328.54</v>
      </c>
      <c r="E391" s="34">
        <v>311.86547999999999</v>
      </c>
      <c r="F391" s="34">
        <v>0</v>
      </c>
      <c r="G391" s="59">
        <f t="shared" si="10"/>
        <v>0.91330541666666665</v>
      </c>
      <c r="H391" s="63">
        <f t="shared" si="11"/>
        <v>0.91268046296296301</v>
      </c>
      <c r="I391" s="65"/>
    </row>
    <row r="392" spans="1:9" x14ac:dyDescent="0.3">
      <c r="A392" s="33">
        <v>45995.437245370369</v>
      </c>
      <c r="B392" s="34">
        <v>3910</v>
      </c>
      <c r="C392" s="34">
        <v>0.95</v>
      </c>
      <c r="D392" s="34">
        <v>328.11500000000001</v>
      </c>
      <c r="E392" s="34">
        <v>311.24050999999997</v>
      </c>
      <c r="F392" s="34">
        <v>0</v>
      </c>
      <c r="G392" s="59">
        <f t="shared" si="10"/>
        <v>0.91202083333333328</v>
      </c>
      <c r="H392" s="63">
        <f t="shared" si="11"/>
        <v>0.9114768518518519</v>
      </c>
      <c r="I392" s="65"/>
    </row>
    <row r="393" spans="1:9" x14ac:dyDescent="0.3">
      <c r="A393" s="33">
        <v>45995.437361111108</v>
      </c>
      <c r="B393" s="34">
        <v>3920</v>
      </c>
      <c r="C393" s="34">
        <v>0.94750000000000001</v>
      </c>
      <c r="D393" s="34">
        <v>327.74</v>
      </c>
      <c r="E393" s="34">
        <v>309.99054000000001</v>
      </c>
      <c r="F393" s="34">
        <v>0</v>
      </c>
      <c r="G393" s="59">
        <f t="shared" si="10"/>
        <v>0.91090972222222233</v>
      </c>
      <c r="H393" s="63">
        <f t="shared" si="11"/>
        <v>0.9104120370370371</v>
      </c>
      <c r="I393" s="65"/>
    </row>
    <row r="394" spans="1:9" x14ac:dyDescent="0.3">
      <c r="A394" s="33">
        <v>45995.437476851854</v>
      </c>
      <c r="B394" s="34">
        <v>3930</v>
      </c>
      <c r="C394" s="34">
        <v>0.94620000000000004</v>
      </c>
      <c r="D394" s="34">
        <v>327.39</v>
      </c>
      <c r="E394" s="34">
        <v>309.36556999999999</v>
      </c>
      <c r="F394" s="34">
        <v>0</v>
      </c>
      <c r="G394" s="59">
        <f t="shared" ref="G394:G457" si="12">($B$2/3600)*((D394+D393)/2)</f>
        <v>0.90990277777777784</v>
      </c>
      <c r="H394" s="63">
        <f t="shared" ref="H394:H457" si="13">($B$2/3600)*(D393/3+D394/3+D395/3)</f>
        <v>0.90943981481481484</v>
      </c>
      <c r="I394" s="65"/>
    </row>
    <row r="395" spans="1:9" x14ac:dyDescent="0.3">
      <c r="A395" s="33">
        <v>45995.437592592592</v>
      </c>
      <c r="B395" s="34">
        <v>3940</v>
      </c>
      <c r="C395" s="34">
        <v>0.94499999999999995</v>
      </c>
      <c r="D395" s="34">
        <v>327.065</v>
      </c>
      <c r="E395" s="34">
        <v>309.36556999999999</v>
      </c>
      <c r="F395" s="34">
        <v>0</v>
      </c>
      <c r="G395" s="59">
        <f t="shared" si="12"/>
        <v>0.90896527777777769</v>
      </c>
      <c r="H395" s="63">
        <f t="shared" si="13"/>
        <v>0.90853703703703703</v>
      </c>
      <c r="I395" s="65"/>
    </row>
    <row r="396" spans="1:9" x14ac:dyDescent="0.3">
      <c r="A396" s="33">
        <v>45995.437708333331</v>
      </c>
      <c r="B396" s="34">
        <v>3950</v>
      </c>
      <c r="C396" s="34">
        <v>0.94499999999999995</v>
      </c>
      <c r="D396" s="34">
        <v>326.76499999999999</v>
      </c>
      <c r="E396" s="34">
        <v>309.36556999999999</v>
      </c>
      <c r="F396" s="34">
        <v>0</v>
      </c>
      <c r="G396" s="59">
        <f t="shared" si="12"/>
        <v>0.90809722222222211</v>
      </c>
      <c r="H396" s="63">
        <f t="shared" si="13"/>
        <v>0.90765740740740741</v>
      </c>
      <c r="I396" s="65"/>
    </row>
    <row r="397" spans="1:9" x14ac:dyDescent="0.3">
      <c r="A397" s="33">
        <v>45995.437824074077</v>
      </c>
      <c r="B397" s="34">
        <v>3960</v>
      </c>
      <c r="C397" s="34">
        <v>0.87870000000000004</v>
      </c>
      <c r="D397" s="34">
        <v>326.44</v>
      </c>
      <c r="E397" s="34">
        <v>286.86624</v>
      </c>
      <c r="F397" s="34">
        <v>0</v>
      </c>
      <c r="G397" s="59">
        <f t="shared" si="12"/>
        <v>0.90722916666666664</v>
      </c>
      <c r="H397" s="63">
        <f t="shared" si="13"/>
        <v>0.90687037037037044</v>
      </c>
      <c r="I397" s="65"/>
    </row>
    <row r="398" spans="1:9" x14ac:dyDescent="0.3">
      <c r="A398" s="33">
        <v>45995.437939814816</v>
      </c>
      <c r="B398" s="34">
        <v>3970</v>
      </c>
      <c r="C398" s="34">
        <v>0.88749999999999996</v>
      </c>
      <c r="D398" s="34">
        <v>326.21499999999997</v>
      </c>
      <c r="E398" s="34">
        <v>289.36617999999999</v>
      </c>
      <c r="F398" s="34">
        <v>0</v>
      </c>
      <c r="G398" s="59">
        <f t="shared" si="12"/>
        <v>0.90646527777777774</v>
      </c>
      <c r="H398" s="63">
        <f t="shared" si="13"/>
        <v>0.90612962962962962</v>
      </c>
      <c r="I398" s="65"/>
    </row>
    <row r="399" spans="1:9" x14ac:dyDescent="0.3">
      <c r="A399" s="33">
        <v>45995.438055555554</v>
      </c>
      <c r="B399" s="34">
        <v>3980</v>
      </c>
      <c r="C399" s="34">
        <v>0.88749999999999996</v>
      </c>
      <c r="D399" s="34">
        <v>325.96499999999997</v>
      </c>
      <c r="E399" s="34">
        <v>289.36617999999999</v>
      </c>
      <c r="F399" s="34">
        <v>0</v>
      </c>
      <c r="G399" s="59">
        <f t="shared" si="12"/>
        <v>0.90580555555555553</v>
      </c>
      <c r="H399" s="63">
        <f t="shared" si="13"/>
        <v>0.90548157407407415</v>
      </c>
      <c r="I399" s="65"/>
    </row>
    <row r="400" spans="1:9" x14ac:dyDescent="0.3">
      <c r="A400" s="33">
        <v>45995.438171296293</v>
      </c>
      <c r="B400" s="34">
        <v>3990</v>
      </c>
      <c r="C400" s="34">
        <v>0.88619999999999999</v>
      </c>
      <c r="D400" s="34">
        <v>325.74009999999998</v>
      </c>
      <c r="E400" s="34">
        <v>288.74117999999999</v>
      </c>
      <c r="F400" s="34">
        <v>0</v>
      </c>
      <c r="G400" s="59">
        <f t="shared" si="12"/>
        <v>0.90514597222222215</v>
      </c>
      <c r="H400" s="63">
        <f t="shared" si="13"/>
        <v>0.90481037037037026</v>
      </c>
      <c r="I400" s="65"/>
    </row>
    <row r="401" spans="1:9" x14ac:dyDescent="0.3">
      <c r="A401" s="33">
        <v>45995.438287037039</v>
      </c>
      <c r="B401" s="34">
        <v>4000</v>
      </c>
      <c r="C401" s="34">
        <v>0.88619999999999999</v>
      </c>
      <c r="D401" s="34">
        <v>325.49009999999998</v>
      </c>
      <c r="E401" s="34">
        <v>288.74117999999999</v>
      </c>
      <c r="F401" s="34">
        <v>0</v>
      </c>
      <c r="G401" s="59">
        <f t="shared" si="12"/>
        <v>0.90448638888888888</v>
      </c>
      <c r="H401" s="63">
        <f t="shared" si="13"/>
        <v>0.90418546296296287</v>
      </c>
      <c r="I401" s="65"/>
    </row>
    <row r="402" spans="1:9" x14ac:dyDescent="0.3">
      <c r="A402" s="33">
        <v>45995.438402777778</v>
      </c>
      <c r="B402" s="34">
        <v>4010</v>
      </c>
      <c r="C402" s="34">
        <v>0.88619999999999999</v>
      </c>
      <c r="D402" s="34">
        <v>325.2901</v>
      </c>
      <c r="E402" s="34">
        <v>288.11621000000002</v>
      </c>
      <c r="F402" s="34">
        <v>0</v>
      </c>
      <c r="G402" s="59">
        <f t="shared" si="12"/>
        <v>0.90386138888888878</v>
      </c>
      <c r="H402" s="63">
        <f t="shared" si="13"/>
        <v>0.60257425925925923</v>
      </c>
      <c r="I402" s="66">
        <f>(C408-C402)/(D402/1000)</f>
        <v>0.97236282321533896</v>
      </c>
    </row>
    <row r="403" spans="1:9" x14ac:dyDescent="0.3">
      <c r="A403" s="33">
        <v>45995.438518518517</v>
      </c>
      <c r="B403" s="34">
        <v>4020</v>
      </c>
      <c r="C403" s="34">
        <v>1.1775</v>
      </c>
      <c r="D403" s="34">
        <v>0</v>
      </c>
      <c r="E403" s="34">
        <v>0</v>
      </c>
      <c r="F403" s="34">
        <v>1</v>
      </c>
      <c r="G403" s="59">
        <f t="shared" si="12"/>
        <v>0.45179180555555559</v>
      </c>
      <c r="H403" s="63">
        <f t="shared" si="13"/>
        <v>0.30119453703703702</v>
      </c>
      <c r="I403" s="65"/>
    </row>
    <row r="404" spans="1:9" x14ac:dyDescent="0.3">
      <c r="A404" s="33">
        <v>45995.438634259262</v>
      </c>
      <c r="B404" s="34">
        <v>4030</v>
      </c>
      <c r="C404" s="34">
        <v>1.1825000000000001</v>
      </c>
      <c r="D404" s="34">
        <v>0</v>
      </c>
      <c r="E404" s="34">
        <v>0</v>
      </c>
      <c r="F404" s="34">
        <v>1</v>
      </c>
      <c r="G404" s="59">
        <f t="shared" si="12"/>
        <v>0</v>
      </c>
      <c r="H404" s="63">
        <f t="shared" si="13"/>
        <v>0</v>
      </c>
      <c r="I404" s="65"/>
    </row>
    <row r="405" spans="1:9" x14ac:dyDescent="0.3">
      <c r="A405" s="33">
        <v>45995.438750000001</v>
      </c>
      <c r="B405" s="34">
        <v>4040</v>
      </c>
      <c r="C405" s="34">
        <v>1.1912</v>
      </c>
      <c r="D405" s="34">
        <v>0</v>
      </c>
      <c r="E405" s="34">
        <v>0</v>
      </c>
      <c r="F405" s="34">
        <v>1</v>
      </c>
      <c r="G405" s="59">
        <f t="shared" si="12"/>
        <v>0</v>
      </c>
      <c r="H405" s="63">
        <f t="shared" si="13"/>
        <v>0</v>
      </c>
      <c r="I405" s="65"/>
    </row>
    <row r="406" spans="1:9" x14ac:dyDescent="0.3">
      <c r="A406" s="33">
        <v>45995.43886574074</v>
      </c>
      <c r="B406" s="34">
        <v>4050</v>
      </c>
      <c r="C406" s="34">
        <v>1.1988000000000001</v>
      </c>
      <c r="D406" s="34">
        <v>0</v>
      </c>
      <c r="E406" s="34">
        <v>0</v>
      </c>
      <c r="F406" s="34">
        <v>1</v>
      </c>
      <c r="G406" s="59">
        <f t="shared" si="12"/>
        <v>0</v>
      </c>
      <c r="H406" s="63">
        <f t="shared" si="13"/>
        <v>0</v>
      </c>
      <c r="I406" s="65"/>
    </row>
    <row r="407" spans="1:9" x14ac:dyDescent="0.3">
      <c r="A407" s="33">
        <v>45995.438981481479</v>
      </c>
      <c r="B407" s="34">
        <v>4060</v>
      </c>
      <c r="C407" s="34">
        <v>1.2038</v>
      </c>
      <c r="D407" s="34">
        <v>0</v>
      </c>
      <c r="E407" s="34">
        <v>0</v>
      </c>
      <c r="F407" s="34">
        <v>1</v>
      </c>
      <c r="G407" s="59">
        <f t="shared" si="12"/>
        <v>0</v>
      </c>
      <c r="H407" s="63">
        <f t="shared" si="13"/>
        <v>2.314814814814815E-5</v>
      </c>
      <c r="I407" s="65"/>
    </row>
    <row r="408" spans="1:9" x14ac:dyDescent="0.3">
      <c r="A408" s="33">
        <v>45995.439097222225</v>
      </c>
      <c r="B408" s="34">
        <v>4070</v>
      </c>
      <c r="C408" s="34">
        <v>1.2024999999999999</v>
      </c>
      <c r="D408" s="34">
        <v>2.5000000000000001E-2</v>
      </c>
      <c r="E408" s="34">
        <v>0</v>
      </c>
      <c r="F408" s="34">
        <v>1</v>
      </c>
      <c r="G408" s="59">
        <f t="shared" si="12"/>
        <v>3.4722222222222222E-5</v>
      </c>
      <c r="H408" s="63">
        <f t="shared" si="13"/>
        <v>0.30892574074074075</v>
      </c>
      <c r="I408" s="65"/>
    </row>
    <row r="409" spans="1:9" x14ac:dyDescent="0.3">
      <c r="A409" s="33">
        <v>45995.439212962963</v>
      </c>
      <c r="B409" s="34">
        <v>4080</v>
      </c>
      <c r="C409" s="34">
        <v>0.96130000000000004</v>
      </c>
      <c r="D409" s="34">
        <v>333.6148</v>
      </c>
      <c r="E409" s="34">
        <v>320.61520000000002</v>
      </c>
      <c r="F409" s="34">
        <v>0</v>
      </c>
      <c r="G409" s="59">
        <f t="shared" si="12"/>
        <v>0.46338861111111113</v>
      </c>
      <c r="H409" s="63">
        <f t="shared" si="13"/>
        <v>0.61505064814814814</v>
      </c>
      <c r="I409" s="66">
        <f>(C408-C409)/(D409/1000)</f>
        <v>0.72298950765973169</v>
      </c>
    </row>
    <row r="410" spans="1:9" x14ac:dyDescent="0.3">
      <c r="A410" s="33">
        <v>45995.439328703702</v>
      </c>
      <c r="B410" s="34">
        <v>4090</v>
      </c>
      <c r="C410" s="34">
        <v>0.95120000000000005</v>
      </c>
      <c r="D410" s="34">
        <v>330.61489999999998</v>
      </c>
      <c r="E410" s="34">
        <v>314.36541999999997</v>
      </c>
      <c r="F410" s="34">
        <v>0</v>
      </c>
      <c r="G410" s="59">
        <f t="shared" si="12"/>
        <v>0.92254124999999998</v>
      </c>
      <c r="H410" s="63">
        <f t="shared" si="13"/>
        <v>0.91964787037037043</v>
      </c>
      <c r="I410" s="65"/>
    </row>
    <row r="411" spans="1:9" x14ac:dyDescent="0.3">
      <c r="A411" s="33">
        <v>45995.439444444448</v>
      </c>
      <c r="B411" s="34">
        <v>4100</v>
      </c>
      <c r="C411" s="34">
        <v>0.94620000000000004</v>
      </c>
      <c r="D411" s="34">
        <v>328.99</v>
      </c>
      <c r="E411" s="34">
        <v>311.24050999999997</v>
      </c>
      <c r="F411" s="34">
        <v>0</v>
      </c>
      <c r="G411" s="59">
        <f t="shared" si="12"/>
        <v>0.91611791666666675</v>
      </c>
      <c r="H411" s="63">
        <f t="shared" si="13"/>
        <v>0.91437027777777791</v>
      </c>
      <c r="I411" s="65"/>
    </row>
    <row r="412" spans="1:9" x14ac:dyDescent="0.3">
      <c r="A412" s="33">
        <v>45995.439560185187</v>
      </c>
      <c r="B412" s="34">
        <v>4110</v>
      </c>
      <c r="C412" s="34">
        <v>0.94120000000000004</v>
      </c>
      <c r="D412" s="34">
        <v>327.91500000000002</v>
      </c>
      <c r="E412" s="34">
        <v>308.74056999999999</v>
      </c>
      <c r="F412" s="34">
        <v>0</v>
      </c>
      <c r="G412" s="59">
        <f t="shared" si="12"/>
        <v>0.91236805555555556</v>
      </c>
      <c r="H412" s="63">
        <f t="shared" si="13"/>
        <v>0.91112962962962984</v>
      </c>
      <c r="I412" s="65"/>
    </row>
    <row r="413" spans="1:9" x14ac:dyDescent="0.3">
      <c r="A413" s="33">
        <v>45995.439675925925</v>
      </c>
      <c r="B413" s="34">
        <v>4120</v>
      </c>
      <c r="C413" s="34">
        <v>0.94</v>
      </c>
      <c r="D413" s="34">
        <v>327.11500000000001</v>
      </c>
      <c r="E413" s="34">
        <v>307.49059999999997</v>
      </c>
      <c r="F413" s="34">
        <v>0</v>
      </c>
      <c r="G413" s="59">
        <f t="shared" si="12"/>
        <v>0.90976388888888893</v>
      </c>
      <c r="H413" s="63">
        <f t="shared" si="13"/>
        <v>0.90881481481481485</v>
      </c>
      <c r="I413" s="65"/>
    </row>
    <row r="414" spans="1:9" x14ac:dyDescent="0.3">
      <c r="A414" s="33">
        <v>45995.439791666664</v>
      </c>
      <c r="B414" s="34">
        <v>4130</v>
      </c>
      <c r="C414" s="34">
        <v>0.93869999999999998</v>
      </c>
      <c r="D414" s="34">
        <v>326.49</v>
      </c>
      <c r="E414" s="34">
        <v>306.86563000000001</v>
      </c>
      <c r="F414" s="34">
        <v>0</v>
      </c>
      <c r="G414" s="59">
        <f t="shared" si="12"/>
        <v>0.90778472222222228</v>
      </c>
      <c r="H414" s="63">
        <f t="shared" si="13"/>
        <v>0.90700925925925924</v>
      </c>
      <c r="I414" s="65"/>
    </row>
    <row r="415" spans="1:9" x14ac:dyDescent="0.3">
      <c r="A415" s="33">
        <v>45995.43990740741</v>
      </c>
      <c r="B415" s="34">
        <v>4140</v>
      </c>
      <c r="C415" s="34">
        <v>0.93620000000000003</v>
      </c>
      <c r="D415" s="34">
        <v>325.96499999999997</v>
      </c>
      <c r="E415" s="34">
        <v>304.99068999999997</v>
      </c>
      <c r="F415" s="34">
        <v>0</v>
      </c>
      <c r="G415" s="59">
        <f t="shared" si="12"/>
        <v>0.90618749999999992</v>
      </c>
      <c r="H415" s="63">
        <f t="shared" si="13"/>
        <v>0.90557416666666657</v>
      </c>
      <c r="I415" s="65"/>
    </row>
    <row r="416" spans="1:9" x14ac:dyDescent="0.3">
      <c r="A416" s="33">
        <v>45995.440023148149</v>
      </c>
      <c r="B416" s="34">
        <v>4150</v>
      </c>
      <c r="C416" s="34">
        <v>0.93500000000000005</v>
      </c>
      <c r="D416" s="34">
        <v>325.56509999999997</v>
      </c>
      <c r="E416" s="34">
        <v>304.36572000000001</v>
      </c>
      <c r="F416" s="34">
        <v>0</v>
      </c>
      <c r="G416" s="59">
        <f t="shared" si="12"/>
        <v>0.90490291666666667</v>
      </c>
      <c r="H416" s="63">
        <f t="shared" si="13"/>
        <v>0.90439370370370364</v>
      </c>
      <c r="I416" s="65"/>
    </row>
    <row r="417" spans="1:9" x14ac:dyDescent="0.3">
      <c r="A417" s="33">
        <v>45995.440138888887</v>
      </c>
      <c r="B417" s="34">
        <v>4160</v>
      </c>
      <c r="C417" s="34">
        <v>0.93369999999999997</v>
      </c>
      <c r="D417" s="34">
        <v>325.21510000000001</v>
      </c>
      <c r="E417" s="34">
        <v>303.74072000000001</v>
      </c>
      <c r="F417" s="34">
        <v>0</v>
      </c>
      <c r="G417" s="59">
        <f t="shared" si="12"/>
        <v>0.90386138888888878</v>
      </c>
      <c r="H417" s="63">
        <f t="shared" si="13"/>
        <v>0.90337527777777782</v>
      </c>
      <c r="I417" s="65"/>
    </row>
    <row r="418" spans="1:9" x14ac:dyDescent="0.3">
      <c r="A418" s="33">
        <v>45995.440254629626</v>
      </c>
      <c r="B418" s="34">
        <v>4170</v>
      </c>
      <c r="C418" s="34">
        <v>0.9325</v>
      </c>
      <c r="D418" s="34">
        <v>324.86509999999998</v>
      </c>
      <c r="E418" s="34">
        <v>303.11574999999999</v>
      </c>
      <c r="F418" s="34">
        <v>0</v>
      </c>
      <c r="G418" s="59">
        <f t="shared" si="12"/>
        <v>0.90288916666666674</v>
      </c>
      <c r="H418" s="63">
        <f t="shared" si="13"/>
        <v>0.90244935185185182</v>
      </c>
      <c r="I418" s="65"/>
    </row>
    <row r="419" spans="1:9" x14ac:dyDescent="0.3">
      <c r="A419" s="33">
        <v>45995.440370370372</v>
      </c>
      <c r="B419" s="34">
        <v>4180</v>
      </c>
      <c r="C419" s="34">
        <v>0.93120000000000003</v>
      </c>
      <c r="D419" s="34">
        <v>324.56509999999997</v>
      </c>
      <c r="E419" s="34">
        <v>302.49077999999997</v>
      </c>
      <c r="F419" s="34">
        <v>0</v>
      </c>
      <c r="G419" s="59">
        <f t="shared" si="12"/>
        <v>0.90198638888888893</v>
      </c>
      <c r="H419" s="63">
        <f t="shared" si="13"/>
        <v>0.90159287037037028</v>
      </c>
      <c r="I419" s="65"/>
    </row>
    <row r="420" spans="1:9" x14ac:dyDescent="0.3">
      <c r="A420" s="33">
        <v>45995.440486111111</v>
      </c>
      <c r="B420" s="34">
        <v>4190</v>
      </c>
      <c r="C420" s="34">
        <v>0.93120000000000003</v>
      </c>
      <c r="D420" s="34">
        <v>324.2901</v>
      </c>
      <c r="E420" s="34">
        <v>301.86577999999997</v>
      </c>
      <c r="F420" s="34">
        <v>0</v>
      </c>
      <c r="G420" s="59">
        <f t="shared" si="12"/>
        <v>0.90118777777777781</v>
      </c>
      <c r="H420" s="63">
        <f t="shared" si="13"/>
        <v>0.90082898148148149</v>
      </c>
      <c r="I420" s="65"/>
    </row>
    <row r="421" spans="1:9" x14ac:dyDescent="0.3">
      <c r="A421" s="33">
        <v>45995.440601851849</v>
      </c>
      <c r="B421" s="34">
        <v>4200</v>
      </c>
      <c r="C421" s="34">
        <v>0.93</v>
      </c>
      <c r="D421" s="34">
        <v>324.0401</v>
      </c>
      <c r="E421" s="34">
        <v>301.24081000000001</v>
      </c>
      <c r="F421" s="34">
        <v>0</v>
      </c>
      <c r="G421" s="59">
        <f t="shared" si="12"/>
        <v>0.90045861111111114</v>
      </c>
      <c r="H421" s="63">
        <f t="shared" si="13"/>
        <v>0.90011138888888886</v>
      </c>
      <c r="I421" s="65"/>
    </row>
    <row r="422" spans="1:9" x14ac:dyDescent="0.3">
      <c r="A422" s="33">
        <v>45995.440717592595</v>
      </c>
      <c r="B422" s="34">
        <v>4210</v>
      </c>
      <c r="C422" s="34">
        <v>0.93</v>
      </c>
      <c r="D422" s="34">
        <v>323.7901</v>
      </c>
      <c r="E422" s="34">
        <v>301.24081000000001</v>
      </c>
      <c r="F422" s="34">
        <v>0</v>
      </c>
      <c r="G422" s="59">
        <f t="shared" si="12"/>
        <v>0.8997641666666667</v>
      </c>
      <c r="H422" s="63">
        <f t="shared" si="13"/>
        <v>0.89941694444444442</v>
      </c>
      <c r="I422" s="65"/>
    </row>
    <row r="423" spans="1:9" x14ac:dyDescent="0.3">
      <c r="A423" s="33">
        <v>45995.440833333334</v>
      </c>
      <c r="B423" s="34">
        <v>4220</v>
      </c>
      <c r="C423" s="34">
        <v>0.93</v>
      </c>
      <c r="D423" s="34">
        <v>323.5401</v>
      </c>
      <c r="E423" s="34">
        <v>300.61581000000001</v>
      </c>
      <c r="F423" s="34">
        <v>0</v>
      </c>
      <c r="G423" s="59">
        <f t="shared" si="12"/>
        <v>0.89906972222222226</v>
      </c>
      <c r="H423" s="63">
        <f t="shared" si="13"/>
        <v>0.89874564814814817</v>
      </c>
      <c r="I423" s="65"/>
    </row>
    <row r="424" spans="1:9" x14ac:dyDescent="0.3">
      <c r="A424" s="33">
        <v>45995.440949074073</v>
      </c>
      <c r="B424" s="34">
        <v>4230</v>
      </c>
      <c r="C424" s="34">
        <v>0.92869999999999997</v>
      </c>
      <c r="D424" s="34">
        <v>323.31509999999997</v>
      </c>
      <c r="E424" s="34">
        <v>299.99083999999999</v>
      </c>
      <c r="F424" s="34">
        <v>0</v>
      </c>
      <c r="G424" s="59">
        <f t="shared" si="12"/>
        <v>0.89841000000000004</v>
      </c>
      <c r="H424" s="63">
        <f t="shared" si="13"/>
        <v>0.8980975000000001</v>
      </c>
      <c r="I424" s="65"/>
    </row>
    <row r="425" spans="1:9" x14ac:dyDescent="0.3">
      <c r="A425" s="33">
        <v>45995.441064814811</v>
      </c>
      <c r="B425" s="34">
        <v>4240</v>
      </c>
      <c r="C425" s="34">
        <v>0.92869999999999997</v>
      </c>
      <c r="D425" s="34">
        <v>323.09010000000001</v>
      </c>
      <c r="E425" s="34">
        <v>299.99083999999999</v>
      </c>
      <c r="F425" s="34">
        <v>0</v>
      </c>
      <c r="G425" s="59">
        <f t="shared" si="12"/>
        <v>0.89778499999999994</v>
      </c>
      <c r="H425" s="63">
        <f t="shared" si="13"/>
        <v>0.89747250000000001</v>
      </c>
      <c r="I425" s="65"/>
    </row>
    <row r="426" spans="1:9" x14ac:dyDescent="0.3">
      <c r="A426" s="33">
        <v>45995.441180555557</v>
      </c>
      <c r="B426" s="34">
        <v>4250</v>
      </c>
      <c r="C426" s="34">
        <v>0.92620000000000002</v>
      </c>
      <c r="D426" s="34">
        <v>322.86509999999998</v>
      </c>
      <c r="E426" s="34">
        <v>298.74088</v>
      </c>
      <c r="F426" s="34">
        <v>0</v>
      </c>
      <c r="G426" s="59">
        <f t="shared" si="12"/>
        <v>0.89716000000000007</v>
      </c>
      <c r="H426" s="63">
        <f t="shared" si="13"/>
        <v>0.59810666666666668</v>
      </c>
      <c r="I426" s="66">
        <f>(C432-C426)/(D426/1000)</f>
        <v>0.97966612061817759</v>
      </c>
    </row>
    <row r="427" spans="1:9" x14ac:dyDescent="0.3">
      <c r="A427" s="33">
        <v>45995.441296296296</v>
      </c>
      <c r="B427" s="34">
        <v>4260</v>
      </c>
      <c r="C427" s="34">
        <v>1.2150000000000001</v>
      </c>
      <c r="D427" s="34">
        <v>0</v>
      </c>
      <c r="E427" s="34">
        <v>0</v>
      </c>
      <c r="F427" s="34">
        <v>1</v>
      </c>
      <c r="G427" s="59">
        <f t="shared" si="12"/>
        <v>0.44842375000000001</v>
      </c>
      <c r="H427" s="63">
        <f t="shared" si="13"/>
        <v>0.29894916666666665</v>
      </c>
      <c r="I427" s="65"/>
    </row>
    <row r="428" spans="1:9" x14ac:dyDescent="0.3">
      <c r="A428" s="33">
        <v>45995.441412037035</v>
      </c>
      <c r="B428" s="34">
        <v>4270</v>
      </c>
      <c r="C428" s="34">
        <v>1.2224999999999999</v>
      </c>
      <c r="D428" s="34">
        <v>0</v>
      </c>
      <c r="E428" s="34">
        <v>0</v>
      </c>
      <c r="F428" s="34">
        <v>1</v>
      </c>
      <c r="G428" s="59">
        <f t="shared" si="12"/>
        <v>0</v>
      </c>
      <c r="H428" s="63">
        <f t="shared" si="13"/>
        <v>0</v>
      </c>
      <c r="I428" s="65"/>
    </row>
    <row r="429" spans="1:9" x14ac:dyDescent="0.3">
      <c r="A429" s="33">
        <v>45995.441527777781</v>
      </c>
      <c r="B429" s="34">
        <v>4280</v>
      </c>
      <c r="C429" s="34">
        <v>1.2286999999999999</v>
      </c>
      <c r="D429" s="34">
        <v>0</v>
      </c>
      <c r="E429" s="34">
        <v>0</v>
      </c>
      <c r="F429" s="34">
        <v>1</v>
      </c>
      <c r="G429" s="59">
        <f t="shared" si="12"/>
        <v>0</v>
      </c>
      <c r="H429" s="63">
        <f t="shared" si="13"/>
        <v>0</v>
      </c>
      <c r="I429" s="65"/>
    </row>
    <row r="430" spans="1:9" x14ac:dyDescent="0.3">
      <c r="A430" s="33">
        <v>45995.441643518519</v>
      </c>
      <c r="B430" s="34">
        <v>4290</v>
      </c>
      <c r="C430" s="34">
        <v>1.2337</v>
      </c>
      <c r="D430" s="34">
        <v>0</v>
      </c>
      <c r="E430" s="34">
        <v>0</v>
      </c>
      <c r="F430" s="34">
        <v>1</v>
      </c>
      <c r="G430" s="59">
        <f t="shared" si="12"/>
        <v>0</v>
      </c>
      <c r="H430" s="63">
        <f t="shared" si="13"/>
        <v>0</v>
      </c>
      <c r="I430" s="65"/>
    </row>
    <row r="431" spans="1:9" x14ac:dyDescent="0.3">
      <c r="A431" s="33">
        <v>45995.441759259258</v>
      </c>
      <c r="B431" s="34">
        <v>4300</v>
      </c>
      <c r="C431" s="34">
        <v>1.2386999999999999</v>
      </c>
      <c r="D431" s="34">
        <v>0</v>
      </c>
      <c r="E431" s="34">
        <v>0</v>
      </c>
      <c r="F431" s="34">
        <v>1</v>
      </c>
      <c r="G431" s="59">
        <f t="shared" si="12"/>
        <v>0</v>
      </c>
      <c r="H431" s="63">
        <f t="shared" si="13"/>
        <v>0</v>
      </c>
      <c r="I431" s="65"/>
    </row>
    <row r="432" spans="1:9" x14ac:dyDescent="0.3">
      <c r="A432" s="33">
        <v>45995.441874999997</v>
      </c>
      <c r="B432" s="34">
        <v>4310</v>
      </c>
      <c r="C432" s="34">
        <v>1.2424999999999999</v>
      </c>
      <c r="D432" s="34">
        <v>0</v>
      </c>
      <c r="E432" s="34">
        <v>0</v>
      </c>
      <c r="F432" s="34">
        <v>1</v>
      </c>
      <c r="G432" s="59">
        <f t="shared" si="12"/>
        <v>0</v>
      </c>
      <c r="H432" s="63">
        <f t="shared" si="13"/>
        <v>0.30679620370370375</v>
      </c>
      <c r="I432" s="65"/>
    </row>
    <row r="433" spans="1:9" x14ac:dyDescent="0.3">
      <c r="A433" s="33">
        <v>45995.441990740743</v>
      </c>
      <c r="B433" s="34">
        <v>4320</v>
      </c>
      <c r="C433" s="34">
        <v>0.95499999999999996</v>
      </c>
      <c r="D433" s="34">
        <v>331.3399</v>
      </c>
      <c r="E433" s="34">
        <v>316.24036000000001</v>
      </c>
      <c r="F433" s="34">
        <v>0</v>
      </c>
      <c r="G433" s="59">
        <f t="shared" si="12"/>
        <v>0.46019430555555557</v>
      </c>
      <c r="H433" s="63">
        <f t="shared" si="13"/>
        <v>0.61076842592592606</v>
      </c>
      <c r="I433" s="66">
        <f>(C432-C433)/(D433/1000)</f>
        <v>0.86768904077051978</v>
      </c>
    </row>
    <row r="434" spans="1:9" x14ac:dyDescent="0.3">
      <c r="A434" s="33">
        <v>45995.442106481481</v>
      </c>
      <c r="B434" s="34">
        <v>4330</v>
      </c>
      <c r="C434" s="34">
        <v>0.94499999999999995</v>
      </c>
      <c r="D434" s="34">
        <v>328.29</v>
      </c>
      <c r="E434" s="34">
        <v>309.99054000000001</v>
      </c>
      <c r="F434" s="34">
        <v>0</v>
      </c>
      <c r="G434" s="59">
        <f t="shared" si="12"/>
        <v>0.91615263888888898</v>
      </c>
      <c r="H434" s="63">
        <f t="shared" si="13"/>
        <v>0.91318972222222239</v>
      </c>
      <c r="I434" s="65"/>
    </row>
    <row r="435" spans="1:9" x14ac:dyDescent="0.3">
      <c r="A435" s="33">
        <v>45995.44222222222</v>
      </c>
      <c r="B435" s="34">
        <v>4340</v>
      </c>
      <c r="C435" s="34">
        <v>0.94</v>
      </c>
      <c r="D435" s="34">
        <v>326.61500000000001</v>
      </c>
      <c r="E435" s="34">
        <v>307.49059999999997</v>
      </c>
      <c r="F435" s="34">
        <v>0</v>
      </c>
      <c r="G435" s="59">
        <f t="shared" si="12"/>
        <v>0.90959027777777779</v>
      </c>
      <c r="H435" s="63">
        <f t="shared" si="13"/>
        <v>0.90779629629629632</v>
      </c>
      <c r="I435" s="65"/>
    </row>
    <row r="436" spans="1:9" x14ac:dyDescent="0.3">
      <c r="A436" s="33">
        <v>45995.442337962966</v>
      </c>
      <c r="B436" s="34">
        <v>4350</v>
      </c>
      <c r="C436" s="34">
        <v>0.93620000000000003</v>
      </c>
      <c r="D436" s="34">
        <v>325.51499999999999</v>
      </c>
      <c r="E436" s="34">
        <v>304.99068999999997</v>
      </c>
      <c r="F436" s="34">
        <v>0</v>
      </c>
      <c r="G436" s="59">
        <f t="shared" si="12"/>
        <v>0.90573611111111119</v>
      </c>
      <c r="H436" s="63">
        <f t="shared" si="13"/>
        <v>0.9044862037037037</v>
      </c>
      <c r="I436" s="65"/>
    </row>
    <row r="437" spans="1:9" x14ac:dyDescent="0.3">
      <c r="A437" s="33">
        <v>45995.442453703705</v>
      </c>
      <c r="B437" s="34">
        <v>4360</v>
      </c>
      <c r="C437" s="34">
        <v>0.93369999999999997</v>
      </c>
      <c r="D437" s="34">
        <v>324.71510000000001</v>
      </c>
      <c r="E437" s="34">
        <v>303.11574999999999</v>
      </c>
      <c r="F437" s="34">
        <v>0</v>
      </c>
      <c r="G437" s="59">
        <f t="shared" si="12"/>
        <v>0.90309736111111116</v>
      </c>
      <c r="H437" s="63">
        <f t="shared" si="13"/>
        <v>0.90214833333333333</v>
      </c>
      <c r="I437" s="65"/>
    </row>
    <row r="438" spans="1:9" x14ac:dyDescent="0.3">
      <c r="A438" s="33">
        <v>45995.442569444444</v>
      </c>
      <c r="B438" s="34">
        <v>4370</v>
      </c>
      <c r="C438" s="34">
        <v>0.93120000000000003</v>
      </c>
      <c r="D438" s="34">
        <v>324.09010000000001</v>
      </c>
      <c r="E438" s="34">
        <v>301.86577999999997</v>
      </c>
      <c r="F438" s="34">
        <v>0</v>
      </c>
      <c r="G438" s="59">
        <f t="shared" si="12"/>
        <v>0.90111833333333335</v>
      </c>
      <c r="H438" s="63">
        <f t="shared" si="13"/>
        <v>0.9003660185185185</v>
      </c>
      <c r="I438" s="65"/>
    </row>
    <row r="439" spans="1:9" x14ac:dyDescent="0.3">
      <c r="A439" s="33">
        <v>45995.442685185182</v>
      </c>
      <c r="B439" s="34">
        <v>4380</v>
      </c>
      <c r="C439" s="34">
        <v>0.92869999999999997</v>
      </c>
      <c r="D439" s="34">
        <v>323.59010000000001</v>
      </c>
      <c r="E439" s="34">
        <v>300.61581000000001</v>
      </c>
      <c r="F439" s="34">
        <v>0</v>
      </c>
      <c r="G439" s="59">
        <f t="shared" si="12"/>
        <v>0.89955583333333333</v>
      </c>
      <c r="H439" s="63">
        <f t="shared" si="13"/>
        <v>0.89893083333333335</v>
      </c>
      <c r="I439" s="65"/>
    </row>
    <row r="440" spans="1:9" x14ac:dyDescent="0.3">
      <c r="A440" s="33">
        <v>45995.442800925928</v>
      </c>
      <c r="B440" s="34">
        <v>4390</v>
      </c>
      <c r="C440" s="34">
        <v>0.92869999999999997</v>
      </c>
      <c r="D440" s="34">
        <v>323.1651</v>
      </c>
      <c r="E440" s="34">
        <v>299.99083999999999</v>
      </c>
      <c r="F440" s="34">
        <v>0</v>
      </c>
      <c r="G440" s="59">
        <f t="shared" si="12"/>
        <v>0.89827111111111124</v>
      </c>
      <c r="H440" s="63">
        <f t="shared" si="13"/>
        <v>0.89770398148148145</v>
      </c>
      <c r="I440" s="65"/>
    </row>
    <row r="441" spans="1:9" x14ac:dyDescent="0.3">
      <c r="A441" s="33">
        <v>45995.442916666667</v>
      </c>
      <c r="B441" s="34">
        <v>4400</v>
      </c>
      <c r="C441" s="34">
        <v>0.92749999999999999</v>
      </c>
      <c r="D441" s="34">
        <v>322.76510000000002</v>
      </c>
      <c r="E441" s="34">
        <v>298.74088</v>
      </c>
      <c r="F441" s="34">
        <v>0</v>
      </c>
      <c r="G441" s="59">
        <f t="shared" si="12"/>
        <v>0.89712527777777784</v>
      </c>
      <c r="H441" s="63">
        <f t="shared" si="13"/>
        <v>0.89661611111111128</v>
      </c>
      <c r="I441" s="65"/>
    </row>
    <row r="442" spans="1:9" x14ac:dyDescent="0.3">
      <c r="A442" s="33">
        <v>45995.443032407406</v>
      </c>
      <c r="B442" s="34">
        <v>4410</v>
      </c>
      <c r="C442" s="34">
        <v>0.92620000000000002</v>
      </c>
      <c r="D442" s="34">
        <v>322.41520000000003</v>
      </c>
      <c r="E442" s="34">
        <v>298.74088</v>
      </c>
      <c r="F442" s="34">
        <v>0</v>
      </c>
      <c r="G442" s="59">
        <f t="shared" si="12"/>
        <v>0.89608375000000007</v>
      </c>
      <c r="H442" s="63">
        <f t="shared" si="13"/>
        <v>0.89564398148148161</v>
      </c>
      <c r="I442" s="65"/>
    </row>
    <row r="443" spans="1:9" x14ac:dyDescent="0.3">
      <c r="A443" s="33">
        <v>45995.443148148152</v>
      </c>
      <c r="B443" s="34">
        <v>4420</v>
      </c>
      <c r="C443" s="34">
        <v>0.92500000000000004</v>
      </c>
      <c r="D443" s="34">
        <v>322.11520000000002</v>
      </c>
      <c r="E443" s="34">
        <v>298.11590999999999</v>
      </c>
      <c r="F443" s="34">
        <v>0</v>
      </c>
      <c r="G443" s="59">
        <f t="shared" si="12"/>
        <v>0.89518111111111132</v>
      </c>
      <c r="H443" s="63">
        <f t="shared" si="13"/>
        <v>0.89476444444444447</v>
      </c>
      <c r="I443" s="65"/>
    </row>
    <row r="444" spans="1:9" x14ac:dyDescent="0.3">
      <c r="A444" s="33">
        <v>45995.44326388889</v>
      </c>
      <c r="B444" s="34">
        <v>4430</v>
      </c>
      <c r="C444" s="34">
        <v>0.92369999999999997</v>
      </c>
      <c r="D444" s="34">
        <v>321.8152</v>
      </c>
      <c r="E444" s="34">
        <v>296.86594000000002</v>
      </c>
      <c r="F444" s="34">
        <v>0</v>
      </c>
      <c r="G444" s="59">
        <f t="shared" si="12"/>
        <v>0.89434777777777774</v>
      </c>
      <c r="H444" s="63">
        <f t="shared" si="13"/>
        <v>0.89395425925925931</v>
      </c>
      <c r="I444" s="65"/>
    </row>
    <row r="445" spans="1:9" x14ac:dyDescent="0.3">
      <c r="A445" s="33">
        <v>45995.443379629629</v>
      </c>
      <c r="B445" s="34">
        <v>4440</v>
      </c>
      <c r="C445" s="34">
        <v>0.88749999999999996</v>
      </c>
      <c r="D445" s="34">
        <v>321.54020000000003</v>
      </c>
      <c r="E445" s="34">
        <v>284.99130000000002</v>
      </c>
      <c r="F445" s="34">
        <v>0</v>
      </c>
      <c r="G445" s="59">
        <f t="shared" si="12"/>
        <v>0.89354916666666673</v>
      </c>
      <c r="H445" s="63">
        <f t="shared" si="13"/>
        <v>0.89316722222222222</v>
      </c>
      <c r="I445" s="65"/>
    </row>
    <row r="446" spans="1:9" x14ac:dyDescent="0.3">
      <c r="A446" s="33">
        <v>45995.443495370368</v>
      </c>
      <c r="B446" s="34">
        <v>4450</v>
      </c>
      <c r="C446" s="34">
        <v>0.88619999999999999</v>
      </c>
      <c r="D446" s="34">
        <v>321.26519999999999</v>
      </c>
      <c r="E446" s="34">
        <v>284.99130000000002</v>
      </c>
      <c r="F446" s="34">
        <v>0</v>
      </c>
      <c r="G446" s="59">
        <f t="shared" si="12"/>
        <v>0.89278527777777772</v>
      </c>
      <c r="H446" s="63">
        <f t="shared" si="13"/>
        <v>0.89247277777777778</v>
      </c>
      <c r="I446" s="65"/>
    </row>
    <row r="447" spans="1:9" x14ac:dyDescent="0.3">
      <c r="A447" s="33">
        <v>45995.443611111114</v>
      </c>
      <c r="B447" s="34">
        <v>4460</v>
      </c>
      <c r="C447" s="34">
        <v>0.88619999999999999</v>
      </c>
      <c r="D447" s="34">
        <v>321.0652</v>
      </c>
      <c r="E447" s="34">
        <v>284.36633</v>
      </c>
      <c r="F447" s="34">
        <v>0</v>
      </c>
      <c r="G447" s="59">
        <f t="shared" si="12"/>
        <v>0.89212555555555562</v>
      </c>
      <c r="H447" s="63">
        <f t="shared" si="13"/>
        <v>0.89180148148148153</v>
      </c>
      <c r="I447" s="65"/>
    </row>
    <row r="448" spans="1:9" x14ac:dyDescent="0.3">
      <c r="A448" s="33">
        <v>45995.443726851852</v>
      </c>
      <c r="B448" s="34">
        <v>4470</v>
      </c>
      <c r="C448" s="34">
        <v>0.88619999999999999</v>
      </c>
      <c r="D448" s="34">
        <v>320.8152</v>
      </c>
      <c r="E448" s="34">
        <v>284.36633</v>
      </c>
      <c r="F448" s="34">
        <v>0</v>
      </c>
      <c r="G448" s="59">
        <f t="shared" si="12"/>
        <v>0.89150055555555563</v>
      </c>
      <c r="H448" s="63">
        <f t="shared" si="13"/>
        <v>0.89119962962962962</v>
      </c>
      <c r="I448" s="65"/>
    </row>
    <row r="449" spans="1:9" x14ac:dyDescent="0.3">
      <c r="A449" s="33">
        <v>45995.443842592591</v>
      </c>
      <c r="B449" s="34">
        <v>4480</v>
      </c>
      <c r="C449" s="34">
        <v>0.85119999999999996</v>
      </c>
      <c r="D449" s="34">
        <v>320.61520000000002</v>
      </c>
      <c r="E449" s="34">
        <v>273.11667</v>
      </c>
      <c r="F449" s="34">
        <v>0</v>
      </c>
      <c r="G449" s="59">
        <f t="shared" si="12"/>
        <v>0.89087555555555553</v>
      </c>
      <c r="H449" s="63">
        <f t="shared" si="13"/>
        <v>0.89057462962962974</v>
      </c>
      <c r="I449" s="65"/>
    </row>
    <row r="450" spans="1:9" x14ac:dyDescent="0.3">
      <c r="A450" s="33">
        <v>45995.443958333337</v>
      </c>
      <c r="B450" s="34">
        <v>4490</v>
      </c>
      <c r="C450" s="34">
        <v>0.84750000000000003</v>
      </c>
      <c r="D450" s="34">
        <v>320.39019999999999</v>
      </c>
      <c r="E450" s="34">
        <v>271.24173000000002</v>
      </c>
      <c r="F450" s="34">
        <v>0</v>
      </c>
      <c r="G450" s="59">
        <f t="shared" si="12"/>
        <v>0.89028527777777777</v>
      </c>
      <c r="H450" s="63">
        <f t="shared" si="13"/>
        <v>0.59354666666666678</v>
      </c>
      <c r="I450" s="66">
        <f>(C456-C450)/(D450/1000)</f>
        <v>1.0143880805342986</v>
      </c>
    </row>
    <row r="451" spans="1:9" x14ac:dyDescent="0.3">
      <c r="A451" s="33">
        <v>45995.444074074076</v>
      </c>
      <c r="B451" s="34">
        <v>4500</v>
      </c>
      <c r="C451" s="34">
        <v>1.1475</v>
      </c>
      <c r="D451" s="34">
        <v>2.5000000000000001E-2</v>
      </c>
      <c r="E451" s="34">
        <v>0</v>
      </c>
      <c r="F451" s="34">
        <v>1</v>
      </c>
      <c r="G451" s="59">
        <f t="shared" si="12"/>
        <v>0.44502111111111109</v>
      </c>
      <c r="H451" s="63">
        <f t="shared" si="13"/>
        <v>0.29670388888888893</v>
      </c>
      <c r="I451" s="65"/>
    </row>
    <row r="452" spans="1:9" x14ac:dyDescent="0.3">
      <c r="A452" s="33">
        <v>45995.444189814814</v>
      </c>
      <c r="B452" s="34">
        <v>4510</v>
      </c>
      <c r="C452" s="34">
        <v>1.1536999999999999</v>
      </c>
      <c r="D452" s="34">
        <v>2.5000000000000001E-2</v>
      </c>
      <c r="E452" s="34">
        <v>0</v>
      </c>
      <c r="F452" s="34">
        <v>1</v>
      </c>
      <c r="G452" s="59">
        <f t="shared" si="12"/>
        <v>6.9444444444444444E-5</v>
      </c>
      <c r="H452" s="63">
        <f t="shared" si="13"/>
        <v>6.9444444444444444E-5</v>
      </c>
      <c r="I452" s="65"/>
    </row>
    <row r="453" spans="1:9" x14ac:dyDescent="0.3">
      <c r="A453" s="33">
        <v>45995.444305555553</v>
      </c>
      <c r="B453" s="34">
        <v>4520</v>
      </c>
      <c r="C453" s="34">
        <v>1.1587000000000001</v>
      </c>
      <c r="D453" s="34">
        <v>2.5000000000000001E-2</v>
      </c>
      <c r="E453" s="34">
        <v>0</v>
      </c>
      <c r="F453" s="34">
        <v>1</v>
      </c>
      <c r="G453" s="59">
        <f t="shared" si="12"/>
        <v>6.9444444444444444E-5</v>
      </c>
      <c r="H453" s="63">
        <f t="shared" si="13"/>
        <v>6.9444444444444444E-5</v>
      </c>
      <c r="I453" s="65"/>
    </row>
    <row r="454" spans="1:9" x14ac:dyDescent="0.3">
      <c r="A454" s="33">
        <v>45995.444421296299</v>
      </c>
      <c r="B454" s="34">
        <v>4530</v>
      </c>
      <c r="C454" s="34">
        <v>1.1625000000000001</v>
      </c>
      <c r="D454" s="34">
        <v>2.5000000000000001E-2</v>
      </c>
      <c r="E454" s="34">
        <v>0</v>
      </c>
      <c r="F454" s="34">
        <v>1</v>
      </c>
      <c r="G454" s="59">
        <f t="shared" si="12"/>
        <v>6.9444444444444444E-5</v>
      </c>
      <c r="H454" s="63">
        <f t="shared" si="13"/>
        <v>6.9444444444444444E-5</v>
      </c>
      <c r="I454" s="65"/>
    </row>
    <row r="455" spans="1:9" x14ac:dyDescent="0.3">
      <c r="A455" s="33">
        <v>45995.444537037038</v>
      </c>
      <c r="B455" s="34">
        <v>4540</v>
      </c>
      <c r="C455" s="34">
        <v>1.1737</v>
      </c>
      <c r="D455" s="34">
        <v>2.5000000000000001E-2</v>
      </c>
      <c r="E455" s="34">
        <v>0</v>
      </c>
      <c r="F455" s="34">
        <v>1</v>
      </c>
      <c r="G455" s="59">
        <f t="shared" si="12"/>
        <v>6.9444444444444444E-5</v>
      </c>
      <c r="H455" s="63">
        <f t="shared" si="13"/>
        <v>4.6296296296296301E-5</v>
      </c>
      <c r="I455" s="65"/>
    </row>
    <row r="456" spans="1:9" x14ac:dyDescent="0.3">
      <c r="A456" s="33">
        <v>45995.444652777776</v>
      </c>
      <c r="B456" s="34">
        <v>4550</v>
      </c>
      <c r="C456" s="34">
        <v>1.1725000000000001</v>
      </c>
      <c r="D456" s="34">
        <v>0</v>
      </c>
      <c r="E456" s="34">
        <v>0</v>
      </c>
      <c r="F456" s="34">
        <v>1</v>
      </c>
      <c r="G456" s="59">
        <f t="shared" si="12"/>
        <v>3.4722222222222222E-5</v>
      </c>
      <c r="H456" s="63">
        <f t="shared" si="13"/>
        <v>0.30468972222222224</v>
      </c>
      <c r="I456" s="65"/>
    </row>
    <row r="457" spans="1:9" x14ac:dyDescent="0.3">
      <c r="A457" s="33">
        <v>45995.444768518515</v>
      </c>
      <c r="B457" s="34">
        <v>4560</v>
      </c>
      <c r="C457" s="34">
        <v>0.94120000000000004</v>
      </c>
      <c r="D457" s="34">
        <v>329.03989999999999</v>
      </c>
      <c r="E457" s="34">
        <v>309.36556999999999</v>
      </c>
      <c r="F457" s="34">
        <v>0</v>
      </c>
      <c r="G457" s="59">
        <f t="shared" si="12"/>
        <v>0.45699986111111113</v>
      </c>
      <c r="H457" s="63">
        <f t="shared" si="13"/>
        <v>0.60641657407407401</v>
      </c>
      <c r="I457" s="66">
        <f>(C456-C457)/(D457/1000)</f>
        <v>0.70295426177797915</v>
      </c>
    </row>
    <row r="458" spans="1:9" x14ac:dyDescent="0.3">
      <c r="A458" s="33">
        <v>45995.444884259261</v>
      </c>
      <c r="B458" s="34">
        <v>4570</v>
      </c>
      <c r="C458" s="34">
        <v>0.93120000000000003</v>
      </c>
      <c r="D458" s="34">
        <v>325.89</v>
      </c>
      <c r="E458" s="34">
        <v>303.74072000000001</v>
      </c>
      <c r="F458" s="34">
        <v>0</v>
      </c>
      <c r="G458" s="59">
        <f t="shared" ref="G458:G521" si="14">($B$2/3600)*((D458+D457)/2)</f>
        <v>0.90962486111111107</v>
      </c>
      <c r="H458" s="63">
        <f t="shared" ref="H458:H521" si="15">($B$2/3600)*(D457/3+D458/3+D459/3)</f>
        <v>0.90661574074074081</v>
      </c>
      <c r="I458" s="65"/>
    </row>
    <row r="459" spans="1:9" x14ac:dyDescent="0.3">
      <c r="A459" s="33">
        <v>45995.445</v>
      </c>
      <c r="B459" s="34">
        <v>4580</v>
      </c>
      <c r="C459" s="34">
        <v>0.92620000000000002</v>
      </c>
      <c r="D459" s="34">
        <v>324.21510000000001</v>
      </c>
      <c r="E459" s="34">
        <v>299.99083999999999</v>
      </c>
      <c r="F459" s="34">
        <v>0</v>
      </c>
      <c r="G459" s="59">
        <f t="shared" si="14"/>
        <v>0.90292375000000002</v>
      </c>
      <c r="H459" s="63">
        <f t="shared" si="15"/>
        <v>0.90112981481481491</v>
      </c>
      <c r="I459" s="65"/>
    </row>
    <row r="460" spans="1:9" x14ac:dyDescent="0.3">
      <c r="A460" s="33">
        <v>45995.445115740738</v>
      </c>
      <c r="B460" s="34">
        <v>4590</v>
      </c>
      <c r="C460" s="34">
        <v>0.92249999999999999</v>
      </c>
      <c r="D460" s="34">
        <v>323.11509999999998</v>
      </c>
      <c r="E460" s="34">
        <v>298.11590999999999</v>
      </c>
      <c r="F460" s="34">
        <v>0</v>
      </c>
      <c r="G460" s="59">
        <f t="shared" si="14"/>
        <v>0.89906972222222226</v>
      </c>
      <c r="H460" s="63">
        <f t="shared" si="15"/>
        <v>0.8977966666666668</v>
      </c>
      <c r="I460" s="65"/>
    </row>
    <row r="461" spans="1:9" x14ac:dyDescent="0.3">
      <c r="A461" s="33">
        <v>45995.445231481484</v>
      </c>
      <c r="B461" s="34">
        <v>4600</v>
      </c>
      <c r="C461" s="34">
        <v>0.92249999999999999</v>
      </c>
      <c r="D461" s="34">
        <v>322.29020000000003</v>
      </c>
      <c r="E461" s="34">
        <v>297.49090999999999</v>
      </c>
      <c r="F461" s="34">
        <v>0</v>
      </c>
      <c r="G461" s="59">
        <f t="shared" si="14"/>
        <v>0.89639625000000001</v>
      </c>
      <c r="H461" s="63">
        <f t="shared" si="15"/>
        <v>0.89543564814814836</v>
      </c>
      <c r="I461" s="65"/>
    </row>
    <row r="462" spans="1:9" x14ac:dyDescent="0.3">
      <c r="A462" s="33">
        <v>45995.445347222223</v>
      </c>
      <c r="B462" s="34">
        <v>4610</v>
      </c>
      <c r="C462" s="34">
        <v>0.91869999999999996</v>
      </c>
      <c r="D462" s="34">
        <v>321.66520000000003</v>
      </c>
      <c r="E462" s="34">
        <v>296.24097</v>
      </c>
      <c r="F462" s="34">
        <v>0</v>
      </c>
      <c r="G462" s="59">
        <f t="shared" si="14"/>
        <v>0.89438250000000008</v>
      </c>
      <c r="H462" s="63">
        <f t="shared" si="15"/>
        <v>0.89360703703703726</v>
      </c>
      <c r="I462" s="65"/>
    </row>
    <row r="463" spans="1:9" x14ac:dyDescent="0.3">
      <c r="A463" s="33">
        <v>45995.445462962962</v>
      </c>
      <c r="B463" s="34">
        <v>4620</v>
      </c>
      <c r="C463" s="34">
        <v>0.91869999999999996</v>
      </c>
      <c r="D463" s="34">
        <v>321.14019999999999</v>
      </c>
      <c r="E463" s="34">
        <v>294.99099999999999</v>
      </c>
      <c r="F463" s="34">
        <v>0</v>
      </c>
      <c r="G463" s="59">
        <f t="shared" si="14"/>
        <v>0.89278527777777772</v>
      </c>
      <c r="H463" s="63">
        <f t="shared" si="15"/>
        <v>0.8921487037037038</v>
      </c>
      <c r="I463" s="65"/>
    </row>
    <row r="464" spans="1:9" x14ac:dyDescent="0.3">
      <c r="A464" s="33">
        <v>45995.4455787037</v>
      </c>
      <c r="B464" s="34">
        <v>4630</v>
      </c>
      <c r="C464" s="34">
        <v>0.91620000000000001</v>
      </c>
      <c r="D464" s="34">
        <v>320.71519999999998</v>
      </c>
      <c r="E464" s="34">
        <v>293.74103000000002</v>
      </c>
      <c r="F464" s="34">
        <v>0</v>
      </c>
      <c r="G464" s="59">
        <f t="shared" si="14"/>
        <v>0.89146583333333329</v>
      </c>
      <c r="H464" s="63">
        <f t="shared" si="15"/>
        <v>0.8909218518518518</v>
      </c>
      <c r="I464" s="65"/>
    </row>
    <row r="465" spans="1:9" x14ac:dyDescent="0.3">
      <c r="A465" s="33">
        <v>45995.445694444446</v>
      </c>
      <c r="B465" s="34">
        <v>4640</v>
      </c>
      <c r="C465" s="34">
        <v>0.91500000000000004</v>
      </c>
      <c r="D465" s="34">
        <v>320.34019999999998</v>
      </c>
      <c r="E465" s="34">
        <v>293.11606</v>
      </c>
      <c r="F465" s="34">
        <v>0</v>
      </c>
      <c r="G465" s="59">
        <f t="shared" si="14"/>
        <v>0.89035472222222223</v>
      </c>
      <c r="H465" s="63">
        <f t="shared" si="15"/>
        <v>0.88988018518518508</v>
      </c>
      <c r="I465" s="65"/>
    </row>
    <row r="466" spans="1:9" x14ac:dyDescent="0.3">
      <c r="A466" s="33">
        <v>45995.445810185185</v>
      </c>
      <c r="B466" s="34">
        <v>4650</v>
      </c>
      <c r="C466" s="34">
        <v>0.91500000000000004</v>
      </c>
      <c r="D466" s="34">
        <v>320.01519999999999</v>
      </c>
      <c r="E466" s="34">
        <v>293.11606</v>
      </c>
      <c r="F466" s="34">
        <v>0</v>
      </c>
      <c r="G466" s="59">
        <f t="shared" si="14"/>
        <v>0.88938249999999996</v>
      </c>
      <c r="H466" s="63">
        <f t="shared" si="15"/>
        <v>0.88893111111111112</v>
      </c>
      <c r="I466" s="65"/>
    </row>
    <row r="467" spans="1:9" x14ac:dyDescent="0.3">
      <c r="A467" s="33">
        <v>45995.445925925924</v>
      </c>
      <c r="B467" s="34">
        <v>4660</v>
      </c>
      <c r="C467" s="34">
        <v>0.91369999999999996</v>
      </c>
      <c r="D467" s="34">
        <v>319.6902</v>
      </c>
      <c r="E467" s="34">
        <v>291.86608999999999</v>
      </c>
      <c r="F467" s="34">
        <v>0</v>
      </c>
      <c r="G467" s="59">
        <f t="shared" si="14"/>
        <v>0.88847972222222238</v>
      </c>
      <c r="H467" s="63">
        <f t="shared" si="15"/>
        <v>0.88807472222222228</v>
      </c>
      <c r="I467" s="65"/>
    </row>
    <row r="468" spans="1:9" x14ac:dyDescent="0.3">
      <c r="A468" s="33">
        <v>45995.44604166667</v>
      </c>
      <c r="B468" s="34">
        <v>4670</v>
      </c>
      <c r="C468" s="34">
        <v>0.91120000000000001</v>
      </c>
      <c r="D468" s="34">
        <v>319.4153</v>
      </c>
      <c r="E468" s="34">
        <v>291.24112000000002</v>
      </c>
      <c r="F468" s="34">
        <v>0</v>
      </c>
      <c r="G468" s="59">
        <f t="shared" si="14"/>
        <v>0.88764652777777786</v>
      </c>
      <c r="H468" s="63">
        <f t="shared" si="15"/>
        <v>0.8872877777777779</v>
      </c>
      <c r="I468" s="65"/>
    </row>
    <row r="469" spans="1:9" x14ac:dyDescent="0.3">
      <c r="A469" s="33">
        <v>45995.446157407408</v>
      </c>
      <c r="B469" s="34">
        <v>4680</v>
      </c>
      <c r="C469" s="34">
        <v>0.91120000000000001</v>
      </c>
      <c r="D469" s="34">
        <v>319.1653</v>
      </c>
      <c r="E469" s="34">
        <v>290.61612000000002</v>
      </c>
      <c r="F469" s="34">
        <v>0</v>
      </c>
      <c r="G469" s="59">
        <f t="shared" si="14"/>
        <v>0.88691750000000003</v>
      </c>
      <c r="H469" s="63">
        <f t="shared" si="15"/>
        <v>0.88654712962962967</v>
      </c>
      <c r="I469" s="65"/>
    </row>
    <row r="470" spans="1:9" x14ac:dyDescent="0.3">
      <c r="A470" s="33">
        <v>45995.446273148147</v>
      </c>
      <c r="B470" s="34">
        <v>4690</v>
      </c>
      <c r="C470" s="34">
        <v>0.91120000000000001</v>
      </c>
      <c r="D470" s="34">
        <v>318.89030000000002</v>
      </c>
      <c r="E470" s="34">
        <v>290.61612000000002</v>
      </c>
      <c r="F470" s="34">
        <v>0</v>
      </c>
      <c r="G470" s="59">
        <f t="shared" si="14"/>
        <v>0.88618833333333336</v>
      </c>
      <c r="H470" s="63">
        <f t="shared" si="15"/>
        <v>0.88582953703703715</v>
      </c>
      <c r="I470" s="65"/>
    </row>
    <row r="471" spans="1:9" x14ac:dyDescent="0.3">
      <c r="A471" s="33">
        <v>45995.446388888886</v>
      </c>
      <c r="B471" s="34">
        <v>4700</v>
      </c>
      <c r="C471" s="34">
        <v>0.90869999999999995</v>
      </c>
      <c r="D471" s="34">
        <v>318.64030000000002</v>
      </c>
      <c r="E471" s="34">
        <v>289.99115</v>
      </c>
      <c r="F471" s="34">
        <v>0</v>
      </c>
      <c r="G471" s="59">
        <f t="shared" si="14"/>
        <v>0.8854591666666668</v>
      </c>
      <c r="H471" s="63">
        <f t="shared" si="15"/>
        <v>0.88513509259259271</v>
      </c>
      <c r="I471" s="65"/>
    </row>
    <row r="472" spans="1:9" x14ac:dyDescent="0.3">
      <c r="A472" s="33">
        <v>45995.446504629632</v>
      </c>
      <c r="B472" s="34">
        <v>4710</v>
      </c>
      <c r="C472" s="34">
        <v>0.90869999999999995</v>
      </c>
      <c r="D472" s="34">
        <v>318.4153</v>
      </c>
      <c r="E472" s="34">
        <v>289.99115</v>
      </c>
      <c r="F472" s="34">
        <v>0</v>
      </c>
      <c r="G472" s="59">
        <f t="shared" si="14"/>
        <v>0.88479944444444447</v>
      </c>
      <c r="H472" s="63">
        <f t="shared" si="15"/>
        <v>0.88446379629629635</v>
      </c>
      <c r="I472" s="65"/>
    </row>
    <row r="473" spans="1:9" x14ac:dyDescent="0.3">
      <c r="A473" s="33">
        <v>45995.446620370371</v>
      </c>
      <c r="B473" s="34">
        <v>4720</v>
      </c>
      <c r="C473" s="34">
        <v>0.90749999999999997</v>
      </c>
      <c r="D473" s="34">
        <v>318.1653</v>
      </c>
      <c r="E473" s="34">
        <v>288.74117999999999</v>
      </c>
      <c r="F473" s="34">
        <v>0</v>
      </c>
      <c r="G473" s="59">
        <f t="shared" si="14"/>
        <v>0.88413972222222226</v>
      </c>
      <c r="H473" s="63">
        <f t="shared" si="15"/>
        <v>0.88381564814814817</v>
      </c>
      <c r="I473" s="65"/>
    </row>
    <row r="474" spans="1:9" x14ac:dyDescent="0.3">
      <c r="A474" s="33">
        <v>45995.446736111109</v>
      </c>
      <c r="B474" s="34">
        <v>4730</v>
      </c>
      <c r="C474" s="34">
        <v>0.90749999999999997</v>
      </c>
      <c r="D474" s="34">
        <v>317.94029999999998</v>
      </c>
      <c r="E474" s="34">
        <v>288.74117999999999</v>
      </c>
      <c r="F474" s="34">
        <v>0</v>
      </c>
      <c r="G474" s="59">
        <f t="shared" si="14"/>
        <v>0.88348000000000004</v>
      </c>
      <c r="H474" s="63">
        <f t="shared" si="15"/>
        <v>0.58898666666666666</v>
      </c>
      <c r="I474" s="66">
        <f>(C480-C474)/(D474/1000)</f>
        <v>1.0143413716348637</v>
      </c>
    </row>
    <row r="475" spans="1:9" x14ac:dyDescent="0.3">
      <c r="A475" s="33">
        <v>45995.446851851855</v>
      </c>
      <c r="B475" s="34">
        <v>4740</v>
      </c>
      <c r="C475" s="34">
        <v>1.2</v>
      </c>
      <c r="D475" s="34">
        <v>0</v>
      </c>
      <c r="E475" s="34">
        <v>0</v>
      </c>
      <c r="F475" s="34">
        <v>1</v>
      </c>
      <c r="G475" s="59">
        <f t="shared" si="14"/>
        <v>0.44158375</v>
      </c>
      <c r="H475" s="63">
        <f t="shared" si="15"/>
        <v>0.29441231481481484</v>
      </c>
      <c r="I475" s="65"/>
    </row>
    <row r="476" spans="1:9" x14ac:dyDescent="0.3">
      <c r="A476" s="33">
        <v>45995.446967592594</v>
      </c>
      <c r="B476" s="34">
        <v>4750</v>
      </c>
      <c r="C476" s="34">
        <v>1.21</v>
      </c>
      <c r="D476" s="34">
        <v>2.5000000000000001E-2</v>
      </c>
      <c r="E476" s="34">
        <v>0</v>
      </c>
      <c r="F476" s="34">
        <v>1</v>
      </c>
      <c r="G476" s="59">
        <f t="shared" si="14"/>
        <v>3.4722222222222222E-5</v>
      </c>
      <c r="H476" s="63">
        <f t="shared" si="15"/>
        <v>2.314814814814815E-5</v>
      </c>
      <c r="I476" s="65"/>
    </row>
    <row r="477" spans="1:9" x14ac:dyDescent="0.3">
      <c r="A477" s="33">
        <v>45995.447083333333</v>
      </c>
      <c r="B477" s="34">
        <v>4760</v>
      </c>
      <c r="C477" s="34">
        <v>1.2175</v>
      </c>
      <c r="D477" s="34">
        <v>0</v>
      </c>
      <c r="E477" s="34">
        <v>0</v>
      </c>
      <c r="F477" s="34">
        <v>1</v>
      </c>
      <c r="G477" s="59">
        <f t="shared" si="14"/>
        <v>3.4722222222222222E-5</v>
      </c>
      <c r="H477" s="63">
        <f t="shared" si="15"/>
        <v>2.314814814814815E-5</v>
      </c>
      <c r="I477" s="65"/>
    </row>
    <row r="478" spans="1:9" x14ac:dyDescent="0.3">
      <c r="A478" s="33">
        <v>45995.447199074071</v>
      </c>
      <c r="B478" s="34">
        <v>4770</v>
      </c>
      <c r="C478" s="34">
        <v>1.2212000000000001</v>
      </c>
      <c r="D478" s="34">
        <v>0</v>
      </c>
      <c r="E478" s="34">
        <v>0</v>
      </c>
      <c r="F478" s="34">
        <v>1</v>
      </c>
      <c r="G478" s="59">
        <f t="shared" si="14"/>
        <v>0</v>
      </c>
      <c r="H478" s="63">
        <f t="shared" si="15"/>
        <v>0</v>
      </c>
      <c r="I478" s="65"/>
    </row>
    <row r="479" spans="1:9" x14ac:dyDescent="0.3">
      <c r="A479" s="33">
        <v>45995.447314814817</v>
      </c>
      <c r="B479" s="34">
        <v>4780</v>
      </c>
      <c r="C479" s="34">
        <v>1.2250000000000001</v>
      </c>
      <c r="D479" s="34">
        <v>0</v>
      </c>
      <c r="E479" s="34">
        <v>0</v>
      </c>
      <c r="F479" s="34">
        <v>1</v>
      </c>
      <c r="G479" s="59">
        <f t="shared" si="14"/>
        <v>0</v>
      </c>
      <c r="H479" s="63">
        <f t="shared" si="15"/>
        <v>0</v>
      </c>
      <c r="I479" s="65"/>
    </row>
    <row r="480" spans="1:9" x14ac:dyDescent="0.3">
      <c r="A480" s="33">
        <v>45995.447430555556</v>
      </c>
      <c r="B480" s="34">
        <v>4790</v>
      </c>
      <c r="C480" s="34">
        <v>1.23</v>
      </c>
      <c r="D480" s="34">
        <v>0</v>
      </c>
      <c r="E480" s="34">
        <v>0</v>
      </c>
      <c r="F480" s="34">
        <v>1</v>
      </c>
      <c r="G480" s="59">
        <f t="shared" si="14"/>
        <v>0</v>
      </c>
      <c r="H480" s="63">
        <f t="shared" si="15"/>
        <v>0.30265277777777777</v>
      </c>
      <c r="I480" s="65"/>
    </row>
    <row r="481" spans="1:9" x14ac:dyDescent="0.3">
      <c r="A481" s="33">
        <v>45995.447546296295</v>
      </c>
      <c r="B481" s="34">
        <v>4800</v>
      </c>
      <c r="C481" s="34">
        <v>0.93620000000000003</v>
      </c>
      <c r="D481" s="34">
        <v>326.86500000000001</v>
      </c>
      <c r="E481" s="34">
        <v>306.24065999999999</v>
      </c>
      <c r="F481" s="34">
        <v>0</v>
      </c>
      <c r="G481" s="59">
        <f t="shared" si="14"/>
        <v>0.45397916666666671</v>
      </c>
      <c r="H481" s="63">
        <f t="shared" si="15"/>
        <v>0.60220379629629628</v>
      </c>
      <c r="I481" s="66">
        <f>(C480-C481)/(D481/1000)</f>
        <v>0.89884202958407888</v>
      </c>
    </row>
    <row r="482" spans="1:9" x14ac:dyDescent="0.3">
      <c r="A482" s="33">
        <v>45995.447662037041</v>
      </c>
      <c r="B482" s="34">
        <v>4810</v>
      </c>
      <c r="C482" s="34">
        <v>0.92369999999999997</v>
      </c>
      <c r="D482" s="34">
        <v>323.51510000000002</v>
      </c>
      <c r="E482" s="34">
        <v>298.74088</v>
      </c>
      <c r="F482" s="34">
        <v>0</v>
      </c>
      <c r="G482" s="59">
        <f t="shared" si="14"/>
        <v>0.90330569444444464</v>
      </c>
      <c r="H482" s="63">
        <f t="shared" si="15"/>
        <v>0.9002039814814814</v>
      </c>
      <c r="I482" s="65"/>
    </row>
    <row r="483" spans="1:9" x14ac:dyDescent="0.3">
      <c r="A483" s="33">
        <v>45995.447777777779</v>
      </c>
      <c r="B483" s="34">
        <v>4820</v>
      </c>
      <c r="C483" s="34">
        <v>0.92249999999999999</v>
      </c>
      <c r="D483" s="34">
        <v>321.84019999999998</v>
      </c>
      <c r="E483" s="34">
        <v>296.86594000000002</v>
      </c>
      <c r="F483" s="34">
        <v>0</v>
      </c>
      <c r="G483" s="59">
        <f t="shared" si="14"/>
        <v>0.89632680555555555</v>
      </c>
      <c r="H483" s="63">
        <f t="shared" si="15"/>
        <v>0.89448657407407406</v>
      </c>
      <c r="I483" s="65"/>
    </row>
    <row r="484" spans="1:9" x14ac:dyDescent="0.3">
      <c r="A484" s="33">
        <v>45995.447893518518</v>
      </c>
      <c r="B484" s="34">
        <v>4830</v>
      </c>
      <c r="C484" s="34">
        <v>0.91869999999999996</v>
      </c>
      <c r="D484" s="34">
        <v>320.6902</v>
      </c>
      <c r="E484" s="34">
        <v>294.99099999999999</v>
      </c>
      <c r="F484" s="34">
        <v>0</v>
      </c>
      <c r="G484" s="59">
        <f t="shared" si="14"/>
        <v>0.89240333333333333</v>
      </c>
      <c r="H484" s="63">
        <f t="shared" si="15"/>
        <v>0.89113018518518528</v>
      </c>
      <c r="I484" s="65"/>
    </row>
    <row r="485" spans="1:9" x14ac:dyDescent="0.3">
      <c r="A485" s="33">
        <v>45995.448009259257</v>
      </c>
      <c r="B485" s="34">
        <v>4840</v>
      </c>
      <c r="C485" s="34">
        <v>0.91369999999999996</v>
      </c>
      <c r="D485" s="34">
        <v>319.89019999999999</v>
      </c>
      <c r="E485" s="34">
        <v>292.49108999999999</v>
      </c>
      <c r="F485" s="34">
        <v>0</v>
      </c>
      <c r="G485" s="59">
        <f t="shared" si="14"/>
        <v>0.88969500000000012</v>
      </c>
      <c r="H485" s="63">
        <f t="shared" si="15"/>
        <v>0.88872277777777786</v>
      </c>
      <c r="I485" s="65"/>
    </row>
    <row r="486" spans="1:9" x14ac:dyDescent="0.3">
      <c r="A486" s="33">
        <v>45995.448125000003</v>
      </c>
      <c r="B486" s="34">
        <v>4850</v>
      </c>
      <c r="C486" s="34">
        <v>0.91249999999999998</v>
      </c>
      <c r="D486" s="34">
        <v>319.24020000000002</v>
      </c>
      <c r="E486" s="34">
        <v>290.61612000000002</v>
      </c>
      <c r="F486" s="34">
        <v>0</v>
      </c>
      <c r="G486" s="59">
        <f t="shared" si="14"/>
        <v>0.88768111111111114</v>
      </c>
      <c r="H486" s="63">
        <f t="shared" si="15"/>
        <v>0.88689416666666676</v>
      </c>
      <c r="I486" s="65"/>
    </row>
    <row r="487" spans="1:9" x14ac:dyDescent="0.3">
      <c r="A487" s="33">
        <v>45995.448240740741</v>
      </c>
      <c r="B487" s="34">
        <v>4860</v>
      </c>
      <c r="C487" s="34">
        <v>0.91</v>
      </c>
      <c r="D487" s="34">
        <v>318.71530000000001</v>
      </c>
      <c r="E487" s="34">
        <v>289.99115</v>
      </c>
      <c r="F487" s="34">
        <v>0</v>
      </c>
      <c r="G487" s="59">
        <f t="shared" si="14"/>
        <v>0.88604930555555561</v>
      </c>
      <c r="H487" s="63">
        <f t="shared" si="15"/>
        <v>0.88541277777777783</v>
      </c>
      <c r="I487" s="65"/>
    </row>
    <row r="488" spans="1:9" x14ac:dyDescent="0.3">
      <c r="A488" s="33">
        <v>45995.44835648148</v>
      </c>
      <c r="B488" s="34">
        <v>4870</v>
      </c>
      <c r="C488" s="34">
        <v>0.90869999999999995</v>
      </c>
      <c r="D488" s="34">
        <v>318.2903</v>
      </c>
      <c r="E488" s="34">
        <v>288.74117999999999</v>
      </c>
      <c r="F488" s="34">
        <v>0</v>
      </c>
      <c r="G488" s="59">
        <f t="shared" si="14"/>
        <v>0.88473000000000002</v>
      </c>
      <c r="H488" s="63">
        <f t="shared" si="15"/>
        <v>0.88418601851851852</v>
      </c>
      <c r="I488" s="65"/>
    </row>
    <row r="489" spans="1:9" x14ac:dyDescent="0.3">
      <c r="A489" s="33">
        <v>45995.448472222219</v>
      </c>
      <c r="B489" s="34">
        <v>4880</v>
      </c>
      <c r="C489" s="34">
        <v>0.90869999999999995</v>
      </c>
      <c r="D489" s="34">
        <v>317.9153</v>
      </c>
      <c r="E489" s="34">
        <v>288.74117999999999</v>
      </c>
      <c r="F489" s="34">
        <v>0</v>
      </c>
      <c r="G489" s="59">
        <f t="shared" si="14"/>
        <v>0.88361888888888895</v>
      </c>
      <c r="H489" s="63">
        <f t="shared" si="15"/>
        <v>0.88312120370370373</v>
      </c>
      <c r="I489" s="65"/>
    </row>
    <row r="490" spans="1:9" x14ac:dyDescent="0.3">
      <c r="A490" s="33">
        <v>45995.448587962965</v>
      </c>
      <c r="B490" s="34">
        <v>4890</v>
      </c>
      <c r="C490" s="34">
        <v>0.90749999999999997</v>
      </c>
      <c r="D490" s="34">
        <v>317.56529999999998</v>
      </c>
      <c r="E490" s="34">
        <v>288.11621000000002</v>
      </c>
      <c r="F490" s="34">
        <v>0</v>
      </c>
      <c r="G490" s="59">
        <f t="shared" si="14"/>
        <v>0.88261194444444446</v>
      </c>
      <c r="H490" s="63">
        <f t="shared" si="15"/>
        <v>0.88217212962962976</v>
      </c>
      <c r="I490" s="65"/>
    </row>
    <row r="491" spans="1:9" x14ac:dyDescent="0.3">
      <c r="A491" s="33">
        <v>45995.448703703703</v>
      </c>
      <c r="B491" s="34">
        <v>4900</v>
      </c>
      <c r="C491" s="34">
        <v>0.90629999999999999</v>
      </c>
      <c r="D491" s="34">
        <v>317.26530000000002</v>
      </c>
      <c r="E491" s="34">
        <v>287.49121000000002</v>
      </c>
      <c r="F491" s="34">
        <v>0</v>
      </c>
      <c r="G491" s="59">
        <f t="shared" si="14"/>
        <v>0.88170916666666665</v>
      </c>
      <c r="H491" s="63">
        <f t="shared" si="15"/>
        <v>0.88129250000000015</v>
      </c>
      <c r="I491" s="65"/>
    </row>
    <row r="492" spans="1:9" x14ac:dyDescent="0.3">
      <c r="A492" s="33">
        <v>45995.448819444442</v>
      </c>
      <c r="B492" s="34">
        <v>4910</v>
      </c>
      <c r="C492" s="34">
        <v>0.90380000000000005</v>
      </c>
      <c r="D492" s="34">
        <v>316.96530000000001</v>
      </c>
      <c r="E492" s="34">
        <v>286.86624</v>
      </c>
      <c r="F492" s="34">
        <v>0</v>
      </c>
      <c r="G492" s="59">
        <f t="shared" si="14"/>
        <v>0.88087583333333352</v>
      </c>
      <c r="H492" s="63">
        <f t="shared" si="15"/>
        <v>0.88048231481481487</v>
      </c>
      <c r="I492" s="65"/>
    </row>
    <row r="493" spans="1:9" x14ac:dyDescent="0.3">
      <c r="A493" s="33">
        <v>45995.448935185188</v>
      </c>
      <c r="B493" s="34">
        <v>4920</v>
      </c>
      <c r="C493" s="34">
        <v>0.90380000000000005</v>
      </c>
      <c r="D493" s="34">
        <v>316.69029999999998</v>
      </c>
      <c r="E493" s="34">
        <v>285.61626999999999</v>
      </c>
      <c r="F493" s="34">
        <v>0</v>
      </c>
      <c r="G493" s="59">
        <f t="shared" si="14"/>
        <v>0.88007722222222229</v>
      </c>
      <c r="H493" s="63">
        <f t="shared" si="15"/>
        <v>0.87971842592592586</v>
      </c>
      <c r="I493" s="65"/>
    </row>
    <row r="494" spans="1:9" x14ac:dyDescent="0.3">
      <c r="A494" s="33">
        <v>45995.449050925927</v>
      </c>
      <c r="B494" s="34">
        <v>4930</v>
      </c>
      <c r="C494" s="34">
        <v>0.90380000000000005</v>
      </c>
      <c r="D494" s="34">
        <v>316.44029999999998</v>
      </c>
      <c r="E494" s="34">
        <v>285.61626999999999</v>
      </c>
      <c r="F494" s="34">
        <v>0</v>
      </c>
      <c r="G494" s="59">
        <f t="shared" si="14"/>
        <v>0.87934805555555551</v>
      </c>
      <c r="H494" s="63">
        <f t="shared" si="15"/>
        <v>0.87902398148148142</v>
      </c>
      <c r="I494" s="65"/>
    </row>
    <row r="495" spans="1:9" x14ac:dyDescent="0.3">
      <c r="A495" s="33">
        <v>45995.449166666665</v>
      </c>
      <c r="B495" s="34">
        <v>4940</v>
      </c>
      <c r="C495" s="34">
        <v>0.90249999999999997</v>
      </c>
      <c r="D495" s="34">
        <v>316.21530000000001</v>
      </c>
      <c r="E495" s="34">
        <v>284.99130000000002</v>
      </c>
      <c r="F495" s="34">
        <v>0</v>
      </c>
      <c r="G495" s="59">
        <f t="shared" si="14"/>
        <v>0.8786883333333334</v>
      </c>
      <c r="H495" s="63">
        <f t="shared" si="15"/>
        <v>0.87835268518518528</v>
      </c>
      <c r="I495" s="65"/>
    </row>
    <row r="496" spans="1:9" x14ac:dyDescent="0.3">
      <c r="A496" s="33">
        <v>45995.449282407404</v>
      </c>
      <c r="B496" s="34">
        <v>4950</v>
      </c>
      <c r="C496" s="34">
        <v>0.90129999999999999</v>
      </c>
      <c r="D496" s="34">
        <v>315.96530000000001</v>
      </c>
      <c r="E496" s="34">
        <v>284.36633</v>
      </c>
      <c r="F496" s="34">
        <v>0</v>
      </c>
      <c r="G496" s="59">
        <f t="shared" si="14"/>
        <v>0.87802861111111119</v>
      </c>
      <c r="H496" s="63">
        <f t="shared" si="15"/>
        <v>0.87770462962962981</v>
      </c>
      <c r="I496" s="65"/>
    </row>
    <row r="497" spans="1:9" x14ac:dyDescent="0.3">
      <c r="A497" s="33">
        <v>45995.44939814815</v>
      </c>
      <c r="B497" s="34">
        <v>4960</v>
      </c>
      <c r="C497" s="34">
        <v>0.90129999999999999</v>
      </c>
      <c r="D497" s="34">
        <v>315.74040000000002</v>
      </c>
      <c r="E497" s="34">
        <v>284.36633</v>
      </c>
      <c r="F497" s="34">
        <v>0</v>
      </c>
      <c r="G497" s="59">
        <f t="shared" si="14"/>
        <v>0.87736902777777781</v>
      </c>
      <c r="H497" s="63">
        <f t="shared" si="15"/>
        <v>0.87707972222222241</v>
      </c>
      <c r="I497" s="65"/>
    </row>
    <row r="498" spans="1:9" x14ac:dyDescent="0.3">
      <c r="A498" s="33">
        <v>45995.449513888889</v>
      </c>
      <c r="B498" s="34">
        <v>4970</v>
      </c>
      <c r="C498" s="34">
        <v>0.9</v>
      </c>
      <c r="D498" s="34">
        <v>315.54039999999998</v>
      </c>
      <c r="E498" s="34">
        <v>283.74133</v>
      </c>
      <c r="F498" s="34">
        <v>0</v>
      </c>
      <c r="G498" s="59">
        <f t="shared" si="14"/>
        <v>0.87677888888888889</v>
      </c>
      <c r="H498" s="63">
        <f t="shared" si="15"/>
        <v>0.58451925925925929</v>
      </c>
      <c r="I498" s="66">
        <f>(C504-C498)/(D498/1000)</f>
        <v>1.0299790454724658</v>
      </c>
    </row>
    <row r="499" spans="1:9" x14ac:dyDescent="0.3">
      <c r="A499" s="33">
        <v>45995.449629629627</v>
      </c>
      <c r="B499" s="34">
        <v>4980</v>
      </c>
      <c r="C499" s="34">
        <v>1.1975</v>
      </c>
      <c r="D499" s="34">
        <v>0</v>
      </c>
      <c r="E499" s="34">
        <v>0</v>
      </c>
      <c r="F499" s="34">
        <v>1</v>
      </c>
      <c r="G499" s="59">
        <f t="shared" si="14"/>
        <v>0.43825055555555553</v>
      </c>
      <c r="H499" s="63">
        <f t="shared" si="15"/>
        <v>0.29216703703703706</v>
      </c>
      <c r="I499" s="65"/>
    </row>
    <row r="500" spans="1:9" x14ac:dyDescent="0.3">
      <c r="A500" s="33">
        <v>45995.449745370373</v>
      </c>
      <c r="B500" s="34">
        <v>4990</v>
      </c>
      <c r="C500" s="34">
        <v>1.2088000000000001</v>
      </c>
      <c r="D500" s="34">
        <v>0</v>
      </c>
      <c r="E500" s="34">
        <v>0</v>
      </c>
      <c r="F500" s="34">
        <v>1</v>
      </c>
      <c r="G500" s="59">
        <f t="shared" si="14"/>
        <v>0</v>
      </c>
      <c r="H500" s="63">
        <f t="shared" si="15"/>
        <v>0</v>
      </c>
      <c r="I500" s="65"/>
    </row>
    <row r="501" spans="1:9" x14ac:dyDescent="0.3">
      <c r="A501" s="33">
        <v>45995.449861111112</v>
      </c>
      <c r="B501" s="34">
        <v>5000</v>
      </c>
      <c r="C501" s="34">
        <v>1.2150000000000001</v>
      </c>
      <c r="D501" s="34">
        <v>0</v>
      </c>
      <c r="E501" s="34">
        <v>0</v>
      </c>
      <c r="F501" s="34">
        <v>1</v>
      </c>
      <c r="G501" s="59">
        <f t="shared" si="14"/>
        <v>0</v>
      </c>
      <c r="H501" s="63">
        <f t="shared" si="15"/>
        <v>0</v>
      </c>
      <c r="I501" s="65"/>
    </row>
    <row r="502" spans="1:9" x14ac:dyDescent="0.3">
      <c r="A502" s="33">
        <v>45995.449976851851</v>
      </c>
      <c r="B502" s="34">
        <v>5010</v>
      </c>
      <c r="C502" s="34">
        <v>1.2188000000000001</v>
      </c>
      <c r="D502" s="34">
        <v>0</v>
      </c>
      <c r="E502" s="34">
        <v>0</v>
      </c>
      <c r="F502" s="34">
        <v>1</v>
      </c>
      <c r="G502" s="59">
        <f t="shared" si="14"/>
        <v>0</v>
      </c>
      <c r="H502" s="63">
        <f t="shared" si="15"/>
        <v>0</v>
      </c>
      <c r="I502" s="65"/>
    </row>
    <row r="503" spans="1:9" x14ac:dyDescent="0.3">
      <c r="A503" s="33">
        <v>45995.450092592589</v>
      </c>
      <c r="B503" s="34">
        <v>5020</v>
      </c>
      <c r="C503" s="34">
        <v>1.2212000000000001</v>
      </c>
      <c r="D503" s="34">
        <v>0</v>
      </c>
      <c r="E503" s="34">
        <v>0</v>
      </c>
      <c r="F503" s="34">
        <v>1</v>
      </c>
      <c r="G503" s="59">
        <f t="shared" si="14"/>
        <v>0</v>
      </c>
      <c r="H503" s="63">
        <f t="shared" si="15"/>
        <v>0</v>
      </c>
      <c r="I503" s="65"/>
    </row>
    <row r="504" spans="1:9" x14ac:dyDescent="0.3">
      <c r="A504" s="33">
        <v>45995.450208333335</v>
      </c>
      <c r="B504" s="34">
        <v>5030</v>
      </c>
      <c r="C504" s="34">
        <v>1.2250000000000001</v>
      </c>
      <c r="D504" s="34">
        <v>0</v>
      </c>
      <c r="E504" s="34">
        <v>0</v>
      </c>
      <c r="F504" s="34">
        <v>1</v>
      </c>
      <c r="G504" s="59">
        <f t="shared" si="14"/>
        <v>0</v>
      </c>
      <c r="H504" s="63">
        <f t="shared" si="15"/>
        <v>0.30063898148148149</v>
      </c>
      <c r="I504" s="65"/>
    </row>
    <row r="505" spans="1:9" x14ac:dyDescent="0.3">
      <c r="A505" s="33">
        <v>45995.450324074074</v>
      </c>
      <c r="B505" s="34">
        <v>5040</v>
      </c>
      <c r="C505" s="34">
        <v>0.93</v>
      </c>
      <c r="D505" s="34">
        <v>324.69009999999997</v>
      </c>
      <c r="E505" s="34">
        <v>301.86577999999997</v>
      </c>
      <c r="F505" s="34">
        <v>0</v>
      </c>
      <c r="G505" s="59">
        <f t="shared" si="14"/>
        <v>0.45095847222222218</v>
      </c>
      <c r="H505" s="63">
        <f t="shared" si="15"/>
        <v>0.59803731481481481</v>
      </c>
      <c r="I505" s="66">
        <f>(C504-C505)/(D505/1000)</f>
        <v>0.90855865331280516</v>
      </c>
    </row>
    <row r="506" spans="1:9" x14ac:dyDescent="0.3">
      <c r="A506" s="33">
        <v>45995.450439814813</v>
      </c>
      <c r="B506" s="34">
        <v>5050</v>
      </c>
      <c r="C506" s="34">
        <v>0.91749999999999998</v>
      </c>
      <c r="D506" s="34">
        <v>321.1902</v>
      </c>
      <c r="E506" s="34">
        <v>294.36603000000002</v>
      </c>
      <c r="F506" s="34">
        <v>0</v>
      </c>
      <c r="G506" s="59">
        <f t="shared" si="14"/>
        <v>0.89705597222222233</v>
      </c>
      <c r="H506" s="63">
        <f t="shared" si="15"/>
        <v>0.89383842592592599</v>
      </c>
      <c r="I506" s="65"/>
    </row>
    <row r="507" spans="1:9" x14ac:dyDescent="0.3">
      <c r="A507" s="33">
        <v>45995.450555555559</v>
      </c>
      <c r="B507" s="34">
        <v>5060</v>
      </c>
      <c r="C507" s="34">
        <v>0.91369999999999996</v>
      </c>
      <c r="D507" s="34">
        <v>319.46519999999998</v>
      </c>
      <c r="E507" s="34">
        <v>291.86608999999999</v>
      </c>
      <c r="F507" s="34">
        <v>0</v>
      </c>
      <c r="G507" s="59">
        <f t="shared" si="14"/>
        <v>0.8897991666666667</v>
      </c>
      <c r="H507" s="63">
        <f t="shared" si="15"/>
        <v>0.88795898148148156</v>
      </c>
      <c r="I507" s="65"/>
    </row>
    <row r="508" spans="1:9" x14ac:dyDescent="0.3">
      <c r="A508" s="33">
        <v>45995.450671296298</v>
      </c>
      <c r="B508" s="34">
        <v>5070</v>
      </c>
      <c r="C508" s="34">
        <v>0.91</v>
      </c>
      <c r="D508" s="34">
        <v>318.34030000000001</v>
      </c>
      <c r="E508" s="34">
        <v>289.36617999999999</v>
      </c>
      <c r="F508" s="34">
        <v>0</v>
      </c>
      <c r="G508" s="59">
        <f t="shared" si="14"/>
        <v>0.88584097222222213</v>
      </c>
      <c r="H508" s="63">
        <f t="shared" si="15"/>
        <v>0.88453314814814821</v>
      </c>
      <c r="I508" s="65"/>
    </row>
    <row r="509" spans="1:9" x14ac:dyDescent="0.3">
      <c r="A509" s="33">
        <v>45995.450787037036</v>
      </c>
      <c r="B509" s="34">
        <v>5080</v>
      </c>
      <c r="C509" s="34">
        <v>0.90749999999999997</v>
      </c>
      <c r="D509" s="34">
        <v>317.49029999999999</v>
      </c>
      <c r="E509" s="34">
        <v>287.49121000000002</v>
      </c>
      <c r="F509" s="34">
        <v>0</v>
      </c>
      <c r="G509" s="59">
        <f t="shared" si="14"/>
        <v>0.88309805555555565</v>
      </c>
      <c r="H509" s="63">
        <f t="shared" si="15"/>
        <v>0.88212583333333328</v>
      </c>
      <c r="I509" s="65"/>
    </row>
    <row r="510" spans="1:9" x14ac:dyDescent="0.3">
      <c r="A510" s="33">
        <v>45995.450902777775</v>
      </c>
      <c r="B510" s="34">
        <v>5090</v>
      </c>
      <c r="C510" s="34">
        <v>0.90629999999999999</v>
      </c>
      <c r="D510" s="34">
        <v>316.86529999999999</v>
      </c>
      <c r="E510" s="34">
        <v>286.86624</v>
      </c>
      <c r="F510" s="34">
        <v>0</v>
      </c>
      <c r="G510" s="59">
        <f t="shared" si="14"/>
        <v>0.88104944444444444</v>
      </c>
      <c r="H510" s="63">
        <f t="shared" si="15"/>
        <v>0.88027398148148162</v>
      </c>
      <c r="I510" s="65"/>
    </row>
    <row r="511" spans="1:9" x14ac:dyDescent="0.3">
      <c r="A511" s="33">
        <v>45995.451018518521</v>
      </c>
      <c r="B511" s="34">
        <v>5100</v>
      </c>
      <c r="C511" s="34">
        <v>0.90380000000000005</v>
      </c>
      <c r="D511" s="34">
        <v>316.34030000000001</v>
      </c>
      <c r="E511" s="34">
        <v>285.61626999999999</v>
      </c>
      <c r="F511" s="34">
        <v>0</v>
      </c>
      <c r="G511" s="59">
        <f t="shared" si="14"/>
        <v>0.8794522222222223</v>
      </c>
      <c r="H511" s="63">
        <f t="shared" si="15"/>
        <v>0.87881564814814817</v>
      </c>
      <c r="I511" s="65"/>
    </row>
    <row r="512" spans="1:9" x14ac:dyDescent="0.3">
      <c r="A512" s="33">
        <v>45995.45113425926</v>
      </c>
      <c r="B512" s="34">
        <v>5110</v>
      </c>
      <c r="C512" s="34">
        <v>0.90129999999999999</v>
      </c>
      <c r="D512" s="34">
        <v>315.9153</v>
      </c>
      <c r="E512" s="34">
        <v>284.36633</v>
      </c>
      <c r="F512" s="34">
        <v>0</v>
      </c>
      <c r="G512" s="59">
        <f t="shared" si="14"/>
        <v>0.87813277777777776</v>
      </c>
      <c r="H512" s="63">
        <f t="shared" si="15"/>
        <v>0.87758888888888897</v>
      </c>
      <c r="I512" s="65"/>
    </row>
    <row r="513" spans="1:9" x14ac:dyDescent="0.3">
      <c r="A513" s="33">
        <v>45995.451249999998</v>
      </c>
      <c r="B513" s="34">
        <v>5120</v>
      </c>
      <c r="C513" s="34">
        <v>0.89880000000000004</v>
      </c>
      <c r="D513" s="34">
        <v>315.54039999999998</v>
      </c>
      <c r="E513" s="34">
        <v>283.74133</v>
      </c>
      <c r="F513" s="34">
        <v>0</v>
      </c>
      <c r="G513" s="59">
        <f t="shared" si="14"/>
        <v>0.87702180555555553</v>
      </c>
      <c r="H513" s="63">
        <f t="shared" si="15"/>
        <v>0.87650101851851858</v>
      </c>
      <c r="I513" s="65"/>
    </row>
    <row r="514" spans="1:9" x14ac:dyDescent="0.3">
      <c r="A514" s="33">
        <v>45995.451365740744</v>
      </c>
      <c r="B514" s="34">
        <v>5130</v>
      </c>
      <c r="C514" s="34">
        <v>0.9</v>
      </c>
      <c r="D514" s="34">
        <v>315.16539999999998</v>
      </c>
      <c r="E514" s="34">
        <v>283.74133</v>
      </c>
      <c r="F514" s="34">
        <v>0</v>
      </c>
      <c r="G514" s="59">
        <f t="shared" si="14"/>
        <v>0.87598027777777776</v>
      </c>
      <c r="H514" s="63">
        <f t="shared" si="15"/>
        <v>0.87548259259259253</v>
      </c>
      <c r="I514" s="65"/>
    </row>
    <row r="515" spans="1:9" x14ac:dyDescent="0.3">
      <c r="A515" s="33">
        <v>45995.451481481483</v>
      </c>
      <c r="B515" s="34">
        <v>5140</v>
      </c>
      <c r="C515" s="34">
        <v>0.89880000000000004</v>
      </c>
      <c r="D515" s="34">
        <v>314.81540000000001</v>
      </c>
      <c r="E515" s="34">
        <v>283.11635999999999</v>
      </c>
      <c r="F515" s="34">
        <v>0</v>
      </c>
      <c r="G515" s="59">
        <f t="shared" si="14"/>
        <v>0.87497333333333338</v>
      </c>
      <c r="H515" s="63">
        <f t="shared" si="15"/>
        <v>0.87453351851851857</v>
      </c>
      <c r="I515" s="65"/>
    </row>
    <row r="516" spans="1:9" x14ac:dyDescent="0.3">
      <c r="A516" s="33">
        <v>45995.451597222222</v>
      </c>
      <c r="B516" s="34">
        <v>5150</v>
      </c>
      <c r="C516" s="34">
        <v>0.89880000000000004</v>
      </c>
      <c r="D516" s="34">
        <v>314.5154</v>
      </c>
      <c r="E516" s="34">
        <v>282.49139000000002</v>
      </c>
      <c r="F516" s="34">
        <v>0</v>
      </c>
      <c r="G516" s="59">
        <f t="shared" si="14"/>
        <v>0.87407055555555557</v>
      </c>
      <c r="H516" s="63">
        <f t="shared" si="15"/>
        <v>0.87367703703703703</v>
      </c>
      <c r="I516" s="65"/>
    </row>
    <row r="517" spans="1:9" x14ac:dyDescent="0.3">
      <c r="A517" s="33">
        <v>45995.45171296296</v>
      </c>
      <c r="B517" s="34">
        <v>5160</v>
      </c>
      <c r="C517" s="34">
        <v>0.89880000000000004</v>
      </c>
      <c r="D517" s="34">
        <v>314.24040000000002</v>
      </c>
      <c r="E517" s="34">
        <v>282.49139000000002</v>
      </c>
      <c r="F517" s="34">
        <v>0</v>
      </c>
      <c r="G517" s="59">
        <f t="shared" si="14"/>
        <v>0.87327194444444456</v>
      </c>
      <c r="H517" s="63">
        <f t="shared" si="15"/>
        <v>0.87291314814814824</v>
      </c>
      <c r="I517" s="65"/>
    </row>
    <row r="518" spans="1:9" x14ac:dyDescent="0.3">
      <c r="A518" s="33">
        <v>45995.451828703706</v>
      </c>
      <c r="B518" s="34">
        <v>5170</v>
      </c>
      <c r="C518" s="34">
        <v>0.89629999999999999</v>
      </c>
      <c r="D518" s="34">
        <v>313.99040000000002</v>
      </c>
      <c r="E518" s="34">
        <v>281.86639000000002</v>
      </c>
      <c r="F518" s="34">
        <v>0</v>
      </c>
      <c r="G518" s="59">
        <f t="shared" si="14"/>
        <v>0.87254277777777789</v>
      </c>
      <c r="H518" s="63">
        <f t="shared" si="15"/>
        <v>0.87217240740740754</v>
      </c>
      <c r="I518" s="65"/>
    </row>
    <row r="519" spans="1:9" x14ac:dyDescent="0.3">
      <c r="A519" s="33">
        <v>45995.451944444445</v>
      </c>
      <c r="B519" s="34">
        <v>5180</v>
      </c>
      <c r="C519" s="34">
        <v>0.89629999999999999</v>
      </c>
      <c r="D519" s="34">
        <v>313.71539999999999</v>
      </c>
      <c r="E519" s="34">
        <v>281.24142000000001</v>
      </c>
      <c r="F519" s="34">
        <v>0</v>
      </c>
      <c r="G519" s="59">
        <f t="shared" si="14"/>
        <v>0.87181361111111111</v>
      </c>
      <c r="H519" s="63">
        <f t="shared" si="15"/>
        <v>0.8714548148148149</v>
      </c>
      <c r="I519" s="65"/>
    </row>
    <row r="520" spans="1:9" x14ac:dyDescent="0.3">
      <c r="A520" s="33">
        <v>45995.452060185184</v>
      </c>
      <c r="B520" s="34">
        <v>5190</v>
      </c>
      <c r="C520" s="34">
        <v>0.89500000000000002</v>
      </c>
      <c r="D520" s="34">
        <v>313.46539999999999</v>
      </c>
      <c r="E520" s="34">
        <v>280.61642000000001</v>
      </c>
      <c r="F520" s="34">
        <v>0</v>
      </c>
      <c r="G520" s="59">
        <f t="shared" si="14"/>
        <v>0.87108444444444444</v>
      </c>
      <c r="H520" s="63">
        <f t="shared" si="15"/>
        <v>0.87076037037037046</v>
      </c>
      <c r="I520" s="65"/>
    </row>
    <row r="521" spans="1:9" x14ac:dyDescent="0.3">
      <c r="A521" s="33">
        <v>45995.452175925922</v>
      </c>
      <c r="B521" s="34">
        <v>5200</v>
      </c>
      <c r="C521" s="34">
        <v>0.89370000000000005</v>
      </c>
      <c r="D521" s="34">
        <v>313.24040000000002</v>
      </c>
      <c r="E521" s="34">
        <v>279.99146000000002</v>
      </c>
      <c r="F521" s="34">
        <v>0</v>
      </c>
      <c r="G521" s="59">
        <f t="shared" si="14"/>
        <v>0.87042472222222222</v>
      </c>
      <c r="H521" s="63">
        <f t="shared" si="15"/>
        <v>0.87011222222222229</v>
      </c>
      <c r="I521" s="65"/>
    </row>
    <row r="522" spans="1:9" x14ac:dyDescent="0.3">
      <c r="A522" s="33">
        <v>45995.452291666668</v>
      </c>
      <c r="B522" s="34">
        <v>5210</v>
      </c>
      <c r="C522" s="34">
        <v>0.89370000000000005</v>
      </c>
      <c r="D522" s="34">
        <v>313.0154</v>
      </c>
      <c r="E522" s="34">
        <v>279.99146000000002</v>
      </c>
      <c r="F522" s="34">
        <v>0</v>
      </c>
      <c r="G522" s="59">
        <f t="shared" ref="G522:G585" si="16">($B$2/3600)*((D522+D521)/2)</f>
        <v>0.86979972222222224</v>
      </c>
      <c r="H522" s="63">
        <f t="shared" ref="H522:H585" si="17">($B$2/3600)*(D521/3+D522/3+D523/3)</f>
        <v>0.57986648148148157</v>
      </c>
      <c r="I522" s="66">
        <f>(C528-C522)/(D522/1000)</f>
        <v>1.0424407233637702</v>
      </c>
    </row>
    <row r="523" spans="1:9" x14ac:dyDescent="0.3">
      <c r="A523" s="33">
        <v>45995.452407407407</v>
      </c>
      <c r="B523" s="34">
        <v>5220</v>
      </c>
      <c r="C523" s="34">
        <v>1.1961999999999999</v>
      </c>
      <c r="D523" s="34">
        <v>0</v>
      </c>
      <c r="E523" s="34">
        <v>0</v>
      </c>
      <c r="F523" s="34">
        <v>1</v>
      </c>
      <c r="G523" s="59">
        <f t="shared" si="16"/>
        <v>0.43474361111111115</v>
      </c>
      <c r="H523" s="63">
        <f t="shared" si="17"/>
        <v>0.28982907407407404</v>
      </c>
      <c r="I523" s="65"/>
    </row>
    <row r="524" spans="1:9" x14ac:dyDescent="0.3">
      <c r="A524" s="33">
        <v>45995.452523148146</v>
      </c>
      <c r="B524" s="34">
        <v>5230</v>
      </c>
      <c r="C524" s="34">
        <v>1.2038</v>
      </c>
      <c r="D524" s="34">
        <v>0</v>
      </c>
      <c r="E524" s="34">
        <v>0</v>
      </c>
      <c r="F524" s="34">
        <v>1</v>
      </c>
      <c r="G524" s="59">
        <f t="shared" si="16"/>
        <v>0</v>
      </c>
      <c r="H524" s="63">
        <f t="shared" si="17"/>
        <v>0</v>
      </c>
      <c r="I524" s="65"/>
    </row>
    <row r="525" spans="1:9" x14ac:dyDescent="0.3">
      <c r="A525" s="33">
        <v>45995.452638888892</v>
      </c>
      <c r="B525" s="34">
        <v>5240</v>
      </c>
      <c r="C525" s="34">
        <v>1.2088000000000001</v>
      </c>
      <c r="D525" s="34">
        <v>0</v>
      </c>
      <c r="E525" s="34">
        <v>0</v>
      </c>
      <c r="F525" s="34">
        <v>1</v>
      </c>
      <c r="G525" s="59">
        <f t="shared" si="16"/>
        <v>0</v>
      </c>
      <c r="H525" s="63">
        <f t="shared" si="17"/>
        <v>0</v>
      </c>
      <c r="I525" s="65"/>
    </row>
    <row r="526" spans="1:9" x14ac:dyDescent="0.3">
      <c r="A526" s="33">
        <v>45995.45275462963</v>
      </c>
      <c r="B526" s="34">
        <v>5250</v>
      </c>
      <c r="C526" s="34">
        <v>1.2150000000000001</v>
      </c>
      <c r="D526" s="34">
        <v>0</v>
      </c>
      <c r="E526" s="34">
        <v>0</v>
      </c>
      <c r="F526" s="34">
        <v>1</v>
      </c>
      <c r="G526" s="59">
        <f t="shared" si="16"/>
        <v>0</v>
      </c>
      <c r="H526" s="63">
        <f t="shared" si="17"/>
        <v>0</v>
      </c>
      <c r="I526" s="65"/>
    </row>
    <row r="527" spans="1:9" x14ac:dyDescent="0.3">
      <c r="A527" s="33">
        <v>45995.452870370369</v>
      </c>
      <c r="B527" s="34">
        <v>5260</v>
      </c>
      <c r="C527" s="34">
        <v>1.2175</v>
      </c>
      <c r="D527" s="34">
        <v>0</v>
      </c>
      <c r="E527" s="34">
        <v>0</v>
      </c>
      <c r="F527" s="34">
        <v>1</v>
      </c>
      <c r="G527" s="59">
        <f t="shared" si="16"/>
        <v>0</v>
      </c>
      <c r="H527" s="63">
        <f t="shared" si="17"/>
        <v>0</v>
      </c>
      <c r="I527" s="65"/>
    </row>
    <row r="528" spans="1:9" x14ac:dyDescent="0.3">
      <c r="A528" s="33">
        <v>45995.452986111108</v>
      </c>
      <c r="B528" s="34">
        <v>5270</v>
      </c>
      <c r="C528" s="34">
        <v>1.22</v>
      </c>
      <c r="D528" s="34">
        <v>0</v>
      </c>
      <c r="E528" s="34">
        <v>0</v>
      </c>
      <c r="F528" s="34">
        <v>1</v>
      </c>
      <c r="G528" s="59">
        <f t="shared" si="16"/>
        <v>0</v>
      </c>
      <c r="H528" s="63">
        <f t="shared" si="17"/>
        <v>0.29869453703703708</v>
      </c>
      <c r="I528" s="65"/>
    </row>
    <row r="529" spans="1:9" x14ac:dyDescent="0.3">
      <c r="A529" s="33">
        <v>45995.453101851854</v>
      </c>
      <c r="B529" s="34">
        <v>5280</v>
      </c>
      <c r="C529" s="34">
        <v>0.92369999999999997</v>
      </c>
      <c r="D529" s="34">
        <v>322.59010000000001</v>
      </c>
      <c r="E529" s="34">
        <v>298.11590999999999</v>
      </c>
      <c r="F529" s="34">
        <v>0</v>
      </c>
      <c r="G529" s="59">
        <f t="shared" si="16"/>
        <v>0.44804180555555556</v>
      </c>
      <c r="H529" s="63">
        <f t="shared" si="17"/>
        <v>0.59400953703703707</v>
      </c>
      <c r="I529" s="66">
        <f>(C528-C529)/(D529/1000)</f>
        <v>0.91850307867476411</v>
      </c>
    </row>
    <row r="530" spans="1:9" x14ac:dyDescent="0.3">
      <c r="A530" s="33">
        <v>45995.453217592592</v>
      </c>
      <c r="B530" s="34">
        <v>5290</v>
      </c>
      <c r="C530" s="34">
        <v>0.91249999999999998</v>
      </c>
      <c r="D530" s="34">
        <v>318.9402</v>
      </c>
      <c r="E530" s="34">
        <v>291.24112000000002</v>
      </c>
      <c r="F530" s="34">
        <v>0</v>
      </c>
      <c r="G530" s="59">
        <f t="shared" si="16"/>
        <v>0.89101430555555561</v>
      </c>
      <c r="H530" s="63">
        <f t="shared" si="17"/>
        <v>0.88765796296296307</v>
      </c>
      <c r="I530" s="65"/>
    </row>
    <row r="531" spans="1:9" x14ac:dyDescent="0.3">
      <c r="A531" s="33">
        <v>45995.453333333331</v>
      </c>
      <c r="B531" s="34">
        <v>5300</v>
      </c>
      <c r="C531" s="34">
        <v>0.90629999999999999</v>
      </c>
      <c r="D531" s="34">
        <v>317.14030000000002</v>
      </c>
      <c r="E531" s="34">
        <v>287.49121000000002</v>
      </c>
      <c r="F531" s="34">
        <v>0</v>
      </c>
      <c r="G531" s="59">
        <f t="shared" si="16"/>
        <v>0.88344513888888898</v>
      </c>
      <c r="H531" s="63">
        <f t="shared" si="17"/>
        <v>0.881523888888889</v>
      </c>
      <c r="I531" s="65"/>
    </row>
    <row r="532" spans="1:9" x14ac:dyDescent="0.3">
      <c r="A532" s="33">
        <v>45995.453449074077</v>
      </c>
      <c r="B532" s="34">
        <v>5310</v>
      </c>
      <c r="C532" s="34">
        <v>0.90249999999999997</v>
      </c>
      <c r="D532" s="34">
        <v>315.96530000000001</v>
      </c>
      <c r="E532" s="34">
        <v>284.36633</v>
      </c>
      <c r="F532" s="34">
        <v>0</v>
      </c>
      <c r="G532" s="59">
        <f t="shared" si="16"/>
        <v>0.8793133333333335</v>
      </c>
      <c r="H532" s="63">
        <f t="shared" si="17"/>
        <v>0.87798240740740763</v>
      </c>
      <c r="I532" s="65"/>
    </row>
    <row r="533" spans="1:9" x14ac:dyDescent="0.3">
      <c r="A533" s="33">
        <v>45995.453564814816</v>
      </c>
      <c r="B533" s="34">
        <v>5320</v>
      </c>
      <c r="C533" s="34">
        <v>0.89880000000000004</v>
      </c>
      <c r="D533" s="34">
        <v>315.11540000000002</v>
      </c>
      <c r="E533" s="34">
        <v>283.11635999999999</v>
      </c>
      <c r="F533" s="34">
        <v>0</v>
      </c>
      <c r="G533" s="59">
        <f t="shared" si="16"/>
        <v>0.87650097222222223</v>
      </c>
      <c r="H533" s="63">
        <f t="shared" si="17"/>
        <v>0.87550564814814835</v>
      </c>
      <c r="I533" s="65"/>
    </row>
    <row r="534" spans="1:9" x14ac:dyDescent="0.3">
      <c r="A534" s="33">
        <v>45995.453680555554</v>
      </c>
      <c r="B534" s="34">
        <v>5330</v>
      </c>
      <c r="C534" s="34">
        <v>0.89629999999999999</v>
      </c>
      <c r="D534" s="34">
        <v>314.46539999999999</v>
      </c>
      <c r="E534" s="34">
        <v>281.86639000000002</v>
      </c>
      <c r="F534" s="34">
        <v>0</v>
      </c>
      <c r="G534" s="59">
        <f t="shared" si="16"/>
        <v>0.87441777777777774</v>
      </c>
      <c r="H534" s="63">
        <f t="shared" si="17"/>
        <v>0.87365388888888895</v>
      </c>
      <c r="I534" s="65"/>
    </row>
    <row r="535" spans="1:9" x14ac:dyDescent="0.3">
      <c r="A535" s="33">
        <v>45995.453796296293</v>
      </c>
      <c r="B535" s="34">
        <v>5340</v>
      </c>
      <c r="C535" s="34">
        <v>0.89629999999999999</v>
      </c>
      <c r="D535" s="34">
        <v>313.96539999999999</v>
      </c>
      <c r="E535" s="34">
        <v>281.86639000000002</v>
      </c>
      <c r="F535" s="34">
        <v>0</v>
      </c>
      <c r="G535" s="59">
        <f t="shared" si="16"/>
        <v>0.8728205555555556</v>
      </c>
      <c r="H535" s="63">
        <f t="shared" si="17"/>
        <v>0.8721955555555555</v>
      </c>
      <c r="I535" s="65"/>
    </row>
    <row r="536" spans="1:9" x14ac:dyDescent="0.3">
      <c r="A536" s="33">
        <v>45995.453912037039</v>
      </c>
      <c r="B536" s="34">
        <v>5350</v>
      </c>
      <c r="C536" s="34">
        <v>0.89629999999999999</v>
      </c>
      <c r="D536" s="34">
        <v>313.54039999999998</v>
      </c>
      <c r="E536" s="34">
        <v>280.61642000000001</v>
      </c>
      <c r="F536" s="34">
        <v>0</v>
      </c>
      <c r="G536" s="59">
        <f t="shared" si="16"/>
        <v>0.87153583333333329</v>
      </c>
      <c r="H536" s="63">
        <f t="shared" si="17"/>
        <v>0.87101499999999987</v>
      </c>
      <c r="I536" s="65"/>
    </row>
    <row r="537" spans="1:9" x14ac:dyDescent="0.3">
      <c r="A537" s="33">
        <v>45995.454027777778</v>
      </c>
      <c r="B537" s="34">
        <v>5360</v>
      </c>
      <c r="C537" s="34">
        <v>0.89500000000000002</v>
      </c>
      <c r="D537" s="34">
        <v>313.19040000000001</v>
      </c>
      <c r="E537" s="34">
        <v>279.99146000000002</v>
      </c>
      <c r="F537" s="34">
        <v>0</v>
      </c>
      <c r="G537" s="59">
        <f t="shared" si="16"/>
        <v>0.87045944444444456</v>
      </c>
      <c r="H537" s="63">
        <f t="shared" si="17"/>
        <v>0.86997342592592586</v>
      </c>
      <c r="I537" s="65"/>
    </row>
    <row r="538" spans="1:9" x14ac:dyDescent="0.3">
      <c r="A538" s="33">
        <v>45995.454143518517</v>
      </c>
      <c r="B538" s="34">
        <v>5370</v>
      </c>
      <c r="C538" s="34">
        <v>0.89370000000000005</v>
      </c>
      <c r="D538" s="34">
        <v>312.84050000000002</v>
      </c>
      <c r="E538" s="34">
        <v>279.36649</v>
      </c>
      <c r="F538" s="34">
        <v>0</v>
      </c>
      <c r="G538" s="59">
        <f t="shared" si="16"/>
        <v>0.86948736111111113</v>
      </c>
      <c r="H538" s="63">
        <f t="shared" si="17"/>
        <v>0.86904759259259257</v>
      </c>
      <c r="I538" s="65"/>
    </row>
    <row r="539" spans="1:9" x14ac:dyDescent="0.3">
      <c r="A539" s="33">
        <v>45995.454259259262</v>
      </c>
      <c r="B539" s="34">
        <v>5380</v>
      </c>
      <c r="C539" s="34">
        <v>0.89249999999999996</v>
      </c>
      <c r="D539" s="34">
        <v>312.54050000000001</v>
      </c>
      <c r="E539" s="34">
        <v>278.74149</v>
      </c>
      <c r="F539" s="34">
        <v>0</v>
      </c>
      <c r="G539" s="59">
        <f t="shared" si="16"/>
        <v>0.86858472222222238</v>
      </c>
      <c r="H539" s="63">
        <f t="shared" si="17"/>
        <v>0.86819120370370373</v>
      </c>
      <c r="I539" s="65"/>
    </row>
    <row r="540" spans="1:9" x14ac:dyDescent="0.3">
      <c r="A540" s="33">
        <v>45995.454386574071</v>
      </c>
      <c r="B540" s="34">
        <v>5390</v>
      </c>
      <c r="C540" s="34">
        <v>0.89119999999999999</v>
      </c>
      <c r="D540" s="34">
        <v>312.26549999999997</v>
      </c>
      <c r="E540" s="34">
        <v>278.11651999999998</v>
      </c>
      <c r="F540" s="34">
        <v>0</v>
      </c>
      <c r="G540" s="59">
        <f t="shared" si="16"/>
        <v>0.86778611111111115</v>
      </c>
      <c r="H540" s="63">
        <f t="shared" si="17"/>
        <v>0.86740416666666664</v>
      </c>
      <c r="I540" s="65"/>
    </row>
    <row r="541" spans="1:9" x14ac:dyDescent="0.3">
      <c r="A541" s="33">
        <v>45995.454502314817</v>
      </c>
      <c r="B541" s="34">
        <v>5400</v>
      </c>
      <c r="C541" s="34">
        <v>0.88870000000000005</v>
      </c>
      <c r="D541" s="34">
        <v>311.9905</v>
      </c>
      <c r="E541" s="34">
        <v>277.49151999999998</v>
      </c>
      <c r="F541" s="34">
        <v>0</v>
      </c>
      <c r="G541" s="59">
        <f t="shared" si="16"/>
        <v>0.86702222222222225</v>
      </c>
      <c r="H541" s="63">
        <f t="shared" si="17"/>
        <v>0.86666342592592593</v>
      </c>
      <c r="I541" s="65"/>
    </row>
    <row r="542" spans="1:9" x14ac:dyDescent="0.3">
      <c r="A542" s="33">
        <v>45995.454618055555</v>
      </c>
      <c r="B542" s="34">
        <v>5410</v>
      </c>
      <c r="C542" s="34">
        <v>0.89</v>
      </c>
      <c r="D542" s="34">
        <v>311.7405</v>
      </c>
      <c r="E542" s="34">
        <v>277.49151999999998</v>
      </c>
      <c r="F542" s="34">
        <v>0</v>
      </c>
      <c r="G542" s="59">
        <f t="shared" si="16"/>
        <v>0.86629305555555558</v>
      </c>
      <c r="H542" s="63">
        <f t="shared" si="17"/>
        <v>0.86596898148148149</v>
      </c>
      <c r="I542" s="65"/>
    </row>
    <row r="543" spans="1:9" x14ac:dyDescent="0.3">
      <c r="A543" s="33">
        <v>45995.454733796294</v>
      </c>
      <c r="B543" s="34">
        <v>5420</v>
      </c>
      <c r="C543" s="34">
        <v>0.88870000000000005</v>
      </c>
      <c r="D543" s="34">
        <v>311.51549999999997</v>
      </c>
      <c r="E543" s="34">
        <v>276.86655000000002</v>
      </c>
      <c r="F543" s="34">
        <v>0</v>
      </c>
      <c r="G543" s="59">
        <f t="shared" si="16"/>
        <v>0.86563333333333337</v>
      </c>
      <c r="H543" s="63">
        <f t="shared" si="17"/>
        <v>0.86529768518518513</v>
      </c>
      <c r="I543" s="65"/>
    </row>
    <row r="544" spans="1:9" x14ac:dyDescent="0.3">
      <c r="A544" s="33">
        <v>45995.45484953704</v>
      </c>
      <c r="B544" s="34">
        <v>5430</v>
      </c>
      <c r="C544" s="34">
        <v>0.88870000000000005</v>
      </c>
      <c r="D544" s="34">
        <v>311.26549999999997</v>
      </c>
      <c r="E544" s="34">
        <v>276.24158</v>
      </c>
      <c r="F544" s="34">
        <v>0</v>
      </c>
      <c r="G544" s="59">
        <f t="shared" si="16"/>
        <v>0.86497361111111104</v>
      </c>
      <c r="H544" s="63">
        <f t="shared" si="17"/>
        <v>0.86462638888888887</v>
      </c>
      <c r="I544" s="65"/>
    </row>
    <row r="545" spans="1:9" x14ac:dyDescent="0.3">
      <c r="A545" s="33">
        <v>45995.454965277779</v>
      </c>
      <c r="B545" s="34">
        <v>5440</v>
      </c>
      <c r="C545" s="34">
        <v>0.88870000000000005</v>
      </c>
      <c r="D545" s="34">
        <v>311.01549999999997</v>
      </c>
      <c r="E545" s="34">
        <v>276.24158</v>
      </c>
      <c r="F545" s="34">
        <v>0</v>
      </c>
      <c r="G545" s="59">
        <f t="shared" si="16"/>
        <v>0.8642791666666666</v>
      </c>
      <c r="H545" s="63">
        <f t="shared" si="17"/>
        <v>0.8639782407407407</v>
      </c>
      <c r="I545" s="65"/>
    </row>
    <row r="546" spans="1:9" x14ac:dyDescent="0.3">
      <c r="A546" s="33">
        <v>45995.455081018517</v>
      </c>
      <c r="B546" s="34">
        <v>5450</v>
      </c>
      <c r="C546" s="34">
        <v>0.88749999999999996</v>
      </c>
      <c r="D546" s="34">
        <v>310.81549999999999</v>
      </c>
      <c r="E546" s="34">
        <v>275.61658</v>
      </c>
      <c r="F546" s="34">
        <v>0</v>
      </c>
      <c r="G546" s="59">
        <f t="shared" si="16"/>
        <v>0.86365416666666661</v>
      </c>
      <c r="H546" s="63">
        <f t="shared" si="17"/>
        <v>0.57576944444444444</v>
      </c>
      <c r="I546" s="66">
        <f>(C552-C546)/(D546/1000)</f>
        <v>1.065905657858119</v>
      </c>
    </row>
    <row r="547" spans="1:9" x14ac:dyDescent="0.3">
      <c r="A547" s="33">
        <v>45995.455196759256</v>
      </c>
      <c r="B547" s="34">
        <v>5460</v>
      </c>
      <c r="C547" s="34">
        <v>1.1912</v>
      </c>
      <c r="D547" s="34">
        <v>0</v>
      </c>
      <c r="E547" s="34">
        <v>0</v>
      </c>
      <c r="F547" s="34">
        <v>1</v>
      </c>
      <c r="G547" s="59">
        <f t="shared" si="16"/>
        <v>0.43168819444444445</v>
      </c>
      <c r="H547" s="63">
        <f t="shared" si="17"/>
        <v>0.28779212962962963</v>
      </c>
      <c r="I547" s="65"/>
    </row>
    <row r="548" spans="1:9" x14ac:dyDescent="0.3">
      <c r="A548" s="33">
        <v>45995.455312500002</v>
      </c>
      <c r="B548" s="34">
        <v>5470</v>
      </c>
      <c r="C548" s="34">
        <v>1.2012</v>
      </c>
      <c r="D548" s="34">
        <v>0</v>
      </c>
      <c r="E548" s="34">
        <v>0</v>
      </c>
      <c r="F548" s="34">
        <v>1</v>
      </c>
      <c r="G548" s="59">
        <f t="shared" si="16"/>
        <v>0</v>
      </c>
      <c r="H548" s="63">
        <f t="shared" si="17"/>
        <v>0</v>
      </c>
      <c r="I548" s="65"/>
    </row>
    <row r="549" spans="1:9" x14ac:dyDescent="0.3">
      <c r="A549" s="33">
        <v>45995.455428240741</v>
      </c>
      <c r="B549" s="34">
        <v>5480</v>
      </c>
      <c r="C549" s="34">
        <v>1.2075</v>
      </c>
      <c r="D549" s="34">
        <v>0</v>
      </c>
      <c r="E549" s="34">
        <v>0</v>
      </c>
      <c r="F549" s="34">
        <v>1</v>
      </c>
      <c r="G549" s="59">
        <f t="shared" si="16"/>
        <v>0</v>
      </c>
      <c r="H549" s="63">
        <f t="shared" si="17"/>
        <v>0</v>
      </c>
      <c r="I549" s="65"/>
    </row>
    <row r="550" spans="1:9" x14ac:dyDescent="0.3">
      <c r="A550" s="33">
        <v>45995.455543981479</v>
      </c>
      <c r="B550" s="34">
        <v>5490</v>
      </c>
      <c r="C550" s="34">
        <v>1.2112000000000001</v>
      </c>
      <c r="D550" s="34">
        <v>0</v>
      </c>
      <c r="E550" s="34">
        <v>0</v>
      </c>
      <c r="F550" s="34">
        <v>1</v>
      </c>
      <c r="G550" s="59">
        <f t="shared" si="16"/>
        <v>0</v>
      </c>
      <c r="H550" s="63">
        <f t="shared" si="17"/>
        <v>0</v>
      </c>
      <c r="I550" s="65"/>
    </row>
    <row r="551" spans="1:9" x14ac:dyDescent="0.3">
      <c r="A551" s="33">
        <v>45995.455659722225</v>
      </c>
      <c r="B551" s="34">
        <v>5500</v>
      </c>
      <c r="C551" s="34">
        <v>1.2150000000000001</v>
      </c>
      <c r="D551" s="34">
        <v>0</v>
      </c>
      <c r="E551" s="34">
        <v>0</v>
      </c>
      <c r="F551" s="34">
        <v>1</v>
      </c>
      <c r="G551" s="59">
        <f t="shared" si="16"/>
        <v>0</v>
      </c>
      <c r="H551" s="63">
        <f t="shared" si="17"/>
        <v>0</v>
      </c>
      <c r="I551" s="65"/>
    </row>
    <row r="552" spans="1:9" x14ac:dyDescent="0.3">
      <c r="A552" s="33">
        <v>45995.455775462964</v>
      </c>
      <c r="B552" s="34">
        <v>5510</v>
      </c>
      <c r="C552" s="34">
        <v>1.2188000000000001</v>
      </c>
      <c r="D552" s="34">
        <v>0</v>
      </c>
      <c r="E552" s="34">
        <v>0</v>
      </c>
      <c r="F552" s="34">
        <v>1</v>
      </c>
      <c r="G552" s="59">
        <f t="shared" si="16"/>
        <v>0</v>
      </c>
      <c r="H552" s="63">
        <f t="shared" si="17"/>
        <v>0.29686592592592598</v>
      </c>
      <c r="I552" s="65"/>
    </row>
    <row r="553" spans="1:9" x14ac:dyDescent="0.3">
      <c r="A553" s="33">
        <v>45995.455891203703</v>
      </c>
      <c r="B553" s="34">
        <v>5520</v>
      </c>
      <c r="C553" s="34">
        <v>0.91869999999999996</v>
      </c>
      <c r="D553" s="34">
        <v>320.61520000000002</v>
      </c>
      <c r="E553" s="34">
        <v>294.36603000000002</v>
      </c>
      <c r="F553" s="34">
        <v>0</v>
      </c>
      <c r="G553" s="59">
        <f t="shared" si="16"/>
        <v>0.44529888888888891</v>
      </c>
      <c r="H553" s="63">
        <f t="shared" si="17"/>
        <v>0.59014398148148162</v>
      </c>
      <c r="I553" s="66">
        <f>(C552-C553)/(D553/1000)</f>
        <v>0.93601301497870393</v>
      </c>
    </row>
    <row r="554" spans="1:9" x14ac:dyDescent="0.3">
      <c r="A554" s="33">
        <v>45995.456006944441</v>
      </c>
      <c r="B554" s="34">
        <v>5530</v>
      </c>
      <c r="C554" s="34">
        <v>0.90749999999999997</v>
      </c>
      <c r="D554" s="34">
        <v>316.74029999999999</v>
      </c>
      <c r="E554" s="34">
        <v>287.49121000000002</v>
      </c>
      <c r="F554" s="34">
        <v>0</v>
      </c>
      <c r="G554" s="59">
        <f t="shared" si="16"/>
        <v>0.88521597222222226</v>
      </c>
      <c r="H554" s="63">
        <f t="shared" si="17"/>
        <v>0.88173231481481484</v>
      </c>
      <c r="I554" s="65"/>
    </row>
    <row r="555" spans="1:9" x14ac:dyDescent="0.3">
      <c r="A555" s="33">
        <v>45995.456122685187</v>
      </c>
      <c r="B555" s="34">
        <v>5540</v>
      </c>
      <c r="C555" s="34">
        <v>0.9</v>
      </c>
      <c r="D555" s="34">
        <v>314.91539999999998</v>
      </c>
      <c r="E555" s="34">
        <v>283.11635999999999</v>
      </c>
      <c r="F555" s="34">
        <v>0</v>
      </c>
      <c r="G555" s="59">
        <f t="shared" si="16"/>
        <v>0.87729958333333335</v>
      </c>
      <c r="H555" s="63">
        <f t="shared" si="17"/>
        <v>0.87534361111111114</v>
      </c>
      <c r="I555" s="65"/>
    </row>
    <row r="556" spans="1:9" x14ac:dyDescent="0.3">
      <c r="A556" s="33">
        <v>45995.456238425926</v>
      </c>
      <c r="B556" s="34">
        <v>5550</v>
      </c>
      <c r="C556" s="34">
        <v>0.89880000000000004</v>
      </c>
      <c r="D556" s="34">
        <v>313.71539999999999</v>
      </c>
      <c r="E556" s="34">
        <v>281.86639000000002</v>
      </c>
      <c r="F556" s="34">
        <v>0</v>
      </c>
      <c r="G556" s="59">
        <f t="shared" si="16"/>
        <v>0.8730983333333332</v>
      </c>
      <c r="H556" s="63">
        <f t="shared" si="17"/>
        <v>0.8717557407407408</v>
      </c>
      <c r="I556" s="65"/>
    </row>
    <row r="557" spans="1:9" x14ac:dyDescent="0.3">
      <c r="A557" s="33">
        <v>45995.456354166665</v>
      </c>
      <c r="B557" s="34">
        <v>5560</v>
      </c>
      <c r="C557" s="34">
        <v>0.89370000000000005</v>
      </c>
      <c r="D557" s="34">
        <v>312.86540000000002</v>
      </c>
      <c r="E557" s="34">
        <v>279.36649</v>
      </c>
      <c r="F557" s="34">
        <v>0</v>
      </c>
      <c r="G557" s="59">
        <f t="shared" si="16"/>
        <v>0.87025111111111109</v>
      </c>
      <c r="H557" s="63">
        <f t="shared" si="17"/>
        <v>0.86925583333333345</v>
      </c>
      <c r="I557" s="65"/>
    </row>
    <row r="558" spans="1:9" x14ac:dyDescent="0.3">
      <c r="A558" s="33">
        <v>45995.456469907411</v>
      </c>
      <c r="B558" s="34">
        <v>5570</v>
      </c>
      <c r="C558" s="34">
        <v>0.89249999999999996</v>
      </c>
      <c r="D558" s="34">
        <v>312.21550000000002</v>
      </c>
      <c r="E558" s="34">
        <v>278.74149</v>
      </c>
      <c r="F558" s="34">
        <v>0</v>
      </c>
      <c r="G558" s="59">
        <f t="shared" si="16"/>
        <v>0.86816791666666671</v>
      </c>
      <c r="H558" s="63">
        <f t="shared" si="17"/>
        <v>0.86738092592592597</v>
      </c>
      <c r="I558" s="65"/>
    </row>
    <row r="559" spans="1:9" x14ac:dyDescent="0.3">
      <c r="A559" s="33">
        <v>45995.456585648149</v>
      </c>
      <c r="B559" s="34">
        <v>5580</v>
      </c>
      <c r="C559" s="34">
        <v>0.89119999999999999</v>
      </c>
      <c r="D559" s="34">
        <v>311.69049999999999</v>
      </c>
      <c r="E559" s="34">
        <v>277.49151999999998</v>
      </c>
      <c r="F559" s="34">
        <v>0</v>
      </c>
      <c r="G559" s="59">
        <f t="shared" si="16"/>
        <v>0.86653611111111106</v>
      </c>
      <c r="H559" s="63">
        <f t="shared" si="17"/>
        <v>0.86587638888888896</v>
      </c>
      <c r="I559" s="65"/>
    </row>
    <row r="560" spans="1:9" x14ac:dyDescent="0.3">
      <c r="A560" s="33">
        <v>45995.456701388888</v>
      </c>
      <c r="B560" s="34">
        <v>5590</v>
      </c>
      <c r="C560" s="34">
        <v>0.89</v>
      </c>
      <c r="D560" s="34">
        <v>311.2405</v>
      </c>
      <c r="E560" s="34">
        <v>276.24158</v>
      </c>
      <c r="F560" s="34">
        <v>0</v>
      </c>
      <c r="G560" s="59">
        <f t="shared" si="16"/>
        <v>0.86518194444444452</v>
      </c>
      <c r="H560" s="63">
        <f t="shared" si="17"/>
        <v>0.86462638888888887</v>
      </c>
      <c r="I560" s="65"/>
    </row>
    <row r="561" spans="1:9" x14ac:dyDescent="0.3">
      <c r="A561" s="33">
        <v>45995.456817129627</v>
      </c>
      <c r="B561" s="34">
        <v>5600</v>
      </c>
      <c r="C561" s="34">
        <v>0.88749999999999996</v>
      </c>
      <c r="D561" s="34">
        <v>310.8655</v>
      </c>
      <c r="E561" s="34">
        <v>275.61658</v>
      </c>
      <c r="F561" s="34">
        <v>0</v>
      </c>
      <c r="G561" s="59">
        <f t="shared" si="16"/>
        <v>0.86403611111111112</v>
      </c>
      <c r="H561" s="63">
        <f t="shared" si="17"/>
        <v>0.86353842592592589</v>
      </c>
      <c r="I561" s="65"/>
    </row>
    <row r="562" spans="1:9" x14ac:dyDescent="0.3">
      <c r="A562" s="33">
        <v>45995.456932870373</v>
      </c>
      <c r="B562" s="34">
        <v>5610</v>
      </c>
      <c r="C562" s="34">
        <v>0.88870000000000005</v>
      </c>
      <c r="D562" s="34">
        <v>310.51549999999997</v>
      </c>
      <c r="E562" s="34">
        <v>275.61658</v>
      </c>
      <c r="F562" s="34">
        <v>0</v>
      </c>
      <c r="G562" s="59">
        <f t="shared" si="16"/>
        <v>0.86302916666666663</v>
      </c>
      <c r="H562" s="63">
        <f t="shared" si="17"/>
        <v>0.86258935185185182</v>
      </c>
      <c r="I562" s="65"/>
    </row>
    <row r="563" spans="1:9" x14ac:dyDescent="0.3">
      <c r="A563" s="33">
        <v>45995.457048611112</v>
      </c>
      <c r="B563" s="34">
        <v>5620</v>
      </c>
      <c r="C563" s="34">
        <v>0.88619999999999999</v>
      </c>
      <c r="D563" s="34">
        <v>310.21550000000002</v>
      </c>
      <c r="E563" s="34">
        <v>274.99160999999998</v>
      </c>
      <c r="F563" s="34">
        <v>0</v>
      </c>
      <c r="G563" s="59">
        <f t="shared" si="16"/>
        <v>0.86212638888888893</v>
      </c>
      <c r="H563" s="63">
        <f t="shared" si="17"/>
        <v>0.8617097222222222</v>
      </c>
      <c r="I563" s="65"/>
    </row>
    <row r="564" spans="1:9" x14ac:dyDescent="0.3">
      <c r="A564" s="33">
        <v>45995.45716435185</v>
      </c>
      <c r="B564" s="34">
        <v>5630</v>
      </c>
      <c r="C564" s="34">
        <v>0.88500000000000001</v>
      </c>
      <c r="D564" s="34">
        <v>309.91550000000001</v>
      </c>
      <c r="E564" s="34">
        <v>273.74164000000002</v>
      </c>
      <c r="F564" s="34">
        <v>0</v>
      </c>
      <c r="G564" s="59">
        <f t="shared" si="16"/>
        <v>0.86129305555555569</v>
      </c>
      <c r="H564" s="63">
        <f t="shared" si="17"/>
        <v>0.86092268518518522</v>
      </c>
      <c r="I564" s="65"/>
    </row>
    <row r="565" spans="1:9" x14ac:dyDescent="0.3">
      <c r="A565" s="33">
        <v>45995.457280092596</v>
      </c>
      <c r="B565" s="34">
        <v>5640</v>
      </c>
      <c r="C565" s="34">
        <v>0.88500000000000001</v>
      </c>
      <c r="D565" s="34">
        <v>309.66550000000001</v>
      </c>
      <c r="E565" s="34">
        <v>274.36664000000002</v>
      </c>
      <c r="F565" s="34">
        <v>0</v>
      </c>
      <c r="G565" s="59">
        <f t="shared" si="16"/>
        <v>0.86052916666666668</v>
      </c>
      <c r="H565" s="63">
        <f t="shared" si="17"/>
        <v>0.860182037037037</v>
      </c>
      <c r="I565" s="65"/>
    </row>
    <row r="566" spans="1:9" x14ac:dyDescent="0.3">
      <c r="A566" s="33">
        <v>45995.457395833335</v>
      </c>
      <c r="B566" s="34">
        <v>5650</v>
      </c>
      <c r="C566" s="34">
        <v>0.88249999999999995</v>
      </c>
      <c r="D566" s="34">
        <v>309.41559999999998</v>
      </c>
      <c r="E566" s="34">
        <v>273.11667</v>
      </c>
      <c r="F566" s="34">
        <v>0</v>
      </c>
      <c r="G566" s="59">
        <f t="shared" si="16"/>
        <v>0.85983486111111118</v>
      </c>
      <c r="H566" s="63">
        <f t="shared" si="17"/>
        <v>0.85951083333333334</v>
      </c>
      <c r="I566" s="65"/>
    </row>
    <row r="567" spans="1:9" x14ac:dyDescent="0.3">
      <c r="A567" s="33">
        <v>45995.457511574074</v>
      </c>
      <c r="B567" s="34">
        <v>5660</v>
      </c>
      <c r="C567" s="34">
        <v>0.88370000000000004</v>
      </c>
      <c r="D567" s="34">
        <v>309.19060000000002</v>
      </c>
      <c r="E567" s="34">
        <v>273.11667</v>
      </c>
      <c r="F567" s="34">
        <v>0</v>
      </c>
      <c r="G567" s="59">
        <f t="shared" si="16"/>
        <v>0.85917527777777769</v>
      </c>
      <c r="H567" s="63">
        <f t="shared" si="17"/>
        <v>0.85883962962962979</v>
      </c>
      <c r="I567" s="65"/>
    </row>
    <row r="568" spans="1:9" x14ac:dyDescent="0.3">
      <c r="A568" s="33">
        <v>45995.457627314812</v>
      </c>
      <c r="B568" s="34">
        <v>5670</v>
      </c>
      <c r="C568" s="34">
        <v>0.88249999999999995</v>
      </c>
      <c r="D568" s="34">
        <v>308.94060000000002</v>
      </c>
      <c r="E568" s="34">
        <v>272.49169999999998</v>
      </c>
      <c r="F568" s="34">
        <v>0</v>
      </c>
      <c r="G568" s="59">
        <f t="shared" si="16"/>
        <v>0.85851555555555559</v>
      </c>
      <c r="H568" s="63">
        <f t="shared" si="17"/>
        <v>0.8581914814814815</v>
      </c>
      <c r="I568" s="65"/>
    </row>
    <row r="569" spans="1:9" x14ac:dyDescent="0.3">
      <c r="A569" s="33">
        <v>45995.457743055558</v>
      </c>
      <c r="B569" s="34">
        <v>5680</v>
      </c>
      <c r="C569" s="34">
        <v>0.88119999999999998</v>
      </c>
      <c r="D569" s="34">
        <v>308.71559999999999</v>
      </c>
      <c r="E569" s="34">
        <v>272.49169999999998</v>
      </c>
      <c r="F569" s="34">
        <v>0</v>
      </c>
      <c r="G569" s="59">
        <f t="shared" si="16"/>
        <v>0.85785583333333337</v>
      </c>
      <c r="H569" s="63">
        <f t="shared" si="17"/>
        <v>0.85754333333333332</v>
      </c>
      <c r="I569" s="65"/>
    </row>
    <row r="570" spans="1:9" x14ac:dyDescent="0.3">
      <c r="A570" s="33">
        <v>45995.457858796297</v>
      </c>
      <c r="B570" s="34">
        <v>5690</v>
      </c>
      <c r="C570" s="34">
        <v>0.88</v>
      </c>
      <c r="D570" s="34">
        <v>308.49059999999997</v>
      </c>
      <c r="E570" s="34">
        <v>271.24173000000002</v>
      </c>
      <c r="F570" s="34">
        <v>0</v>
      </c>
      <c r="G570" s="59">
        <f t="shared" si="16"/>
        <v>0.85723083333333328</v>
      </c>
      <c r="H570" s="63">
        <f t="shared" si="17"/>
        <v>0.57148722222222215</v>
      </c>
      <c r="I570" s="66">
        <f>(C576-C570)/(D570/1000)</f>
        <v>1.0940365768033129</v>
      </c>
    </row>
    <row r="571" spans="1:9" x14ac:dyDescent="0.3">
      <c r="A571" s="33">
        <v>45995.457974537036</v>
      </c>
      <c r="B571" s="34">
        <v>5700</v>
      </c>
      <c r="C571" s="34">
        <v>1.1875</v>
      </c>
      <c r="D571" s="34">
        <v>0</v>
      </c>
      <c r="E571" s="34">
        <v>0</v>
      </c>
      <c r="F571" s="34">
        <v>1</v>
      </c>
      <c r="G571" s="59">
        <f t="shared" si="16"/>
        <v>0.42845916666666667</v>
      </c>
      <c r="H571" s="63">
        <f t="shared" si="17"/>
        <v>0.28563944444444445</v>
      </c>
      <c r="I571" s="65"/>
    </row>
    <row r="572" spans="1:9" x14ac:dyDescent="0.3">
      <c r="A572" s="33">
        <v>45995.458090277774</v>
      </c>
      <c r="B572" s="34">
        <v>5710</v>
      </c>
      <c r="C572" s="34">
        <v>1.2024999999999999</v>
      </c>
      <c r="D572" s="34">
        <v>0</v>
      </c>
      <c r="E572" s="34">
        <v>0</v>
      </c>
      <c r="F572" s="34">
        <v>1</v>
      </c>
      <c r="G572" s="59">
        <f t="shared" si="16"/>
        <v>0</v>
      </c>
      <c r="H572" s="63">
        <f t="shared" si="17"/>
        <v>0</v>
      </c>
      <c r="I572" s="65"/>
    </row>
    <row r="573" spans="1:9" x14ac:dyDescent="0.3">
      <c r="A573" s="33">
        <v>45995.45820601852</v>
      </c>
      <c r="B573" s="34">
        <v>5720</v>
      </c>
      <c r="C573" s="34">
        <v>1.2050000000000001</v>
      </c>
      <c r="D573" s="34">
        <v>0</v>
      </c>
      <c r="E573" s="34">
        <v>0</v>
      </c>
      <c r="F573" s="34">
        <v>1</v>
      </c>
      <c r="G573" s="59">
        <f t="shared" si="16"/>
        <v>0</v>
      </c>
      <c r="H573" s="63">
        <f t="shared" si="17"/>
        <v>0</v>
      </c>
      <c r="I573" s="65"/>
    </row>
    <row r="574" spans="1:9" x14ac:dyDescent="0.3">
      <c r="A574" s="33">
        <v>45995.458321759259</v>
      </c>
      <c r="B574" s="34">
        <v>5730</v>
      </c>
      <c r="C574" s="34">
        <v>1.21</v>
      </c>
      <c r="D574" s="34">
        <v>0</v>
      </c>
      <c r="E574" s="34">
        <v>0</v>
      </c>
      <c r="F574" s="34">
        <v>1</v>
      </c>
      <c r="G574" s="59">
        <f t="shared" si="16"/>
        <v>0</v>
      </c>
      <c r="H574" s="63">
        <f t="shared" si="17"/>
        <v>0</v>
      </c>
      <c r="I574" s="65"/>
    </row>
    <row r="575" spans="1:9" x14ac:dyDescent="0.3">
      <c r="A575" s="33">
        <v>45995.458437499998</v>
      </c>
      <c r="B575" s="34">
        <v>5740</v>
      </c>
      <c r="C575" s="34">
        <v>1.2138</v>
      </c>
      <c r="D575" s="34">
        <v>0</v>
      </c>
      <c r="E575" s="34">
        <v>0</v>
      </c>
      <c r="F575" s="34">
        <v>1</v>
      </c>
      <c r="G575" s="59">
        <f t="shared" si="16"/>
        <v>0</v>
      </c>
      <c r="H575" s="63">
        <f t="shared" si="17"/>
        <v>0</v>
      </c>
      <c r="I575" s="65"/>
    </row>
    <row r="576" spans="1:9" x14ac:dyDescent="0.3">
      <c r="A576" s="33">
        <v>45995.458553240744</v>
      </c>
      <c r="B576" s="34">
        <v>5750</v>
      </c>
      <c r="C576" s="34">
        <v>1.2175</v>
      </c>
      <c r="D576" s="34">
        <v>0</v>
      </c>
      <c r="E576" s="34">
        <v>0</v>
      </c>
      <c r="F576" s="34">
        <v>1</v>
      </c>
      <c r="G576" s="59">
        <f t="shared" si="16"/>
        <v>0</v>
      </c>
      <c r="H576" s="63">
        <f t="shared" si="17"/>
        <v>0.2951530555555556</v>
      </c>
      <c r="I576" s="65"/>
    </row>
    <row r="577" spans="1:9" x14ac:dyDescent="0.3">
      <c r="A577" s="33">
        <v>45995.458668981482</v>
      </c>
      <c r="B577" s="34">
        <v>5760</v>
      </c>
      <c r="C577" s="34">
        <v>0.91500000000000004</v>
      </c>
      <c r="D577" s="34">
        <v>318.76530000000002</v>
      </c>
      <c r="E577" s="34">
        <v>291.24112000000002</v>
      </c>
      <c r="F577" s="34">
        <v>0</v>
      </c>
      <c r="G577" s="59">
        <f t="shared" si="16"/>
        <v>0.4427295833333334</v>
      </c>
      <c r="H577" s="63">
        <f t="shared" si="17"/>
        <v>0.58641731481481485</v>
      </c>
      <c r="I577" s="66">
        <f>(C576-C577)/(D577/1000)</f>
        <v>0.94897405708839688</v>
      </c>
    </row>
    <row r="578" spans="1:9" x14ac:dyDescent="0.3">
      <c r="A578" s="33">
        <v>45995.458784722221</v>
      </c>
      <c r="B578" s="34">
        <v>5770</v>
      </c>
      <c r="C578" s="34">
        <v>0.90129999999999999</v>
      </c>
      <c r="D578" s="34">
        <v>314.56540000000001</v>
      </c>
      <c r="E578" s="34">
        <v>283.74133</v>
      </c>
      <c r="F578" s="34">
        <v>0</v>
      </c>
      <c r="G578" s="59">
        <f t="shared" si="16"/>
        <v>0.87962597222222227</v>
      </c>
      <c r="H578" s="63">
        <f t="shared" si="17"/>
        <v>0.87594555555555575</v>
      </c>
      <c r="I578" s="65"/>
    </row>
    <row r="579" spans="1:9" x14ac:dyDescent="0.3">
      <c r="A579" s="33">
        <v>45995.45890046296</v>
      </c>
      <c r="B579" s="34">
        <v>5780</v>
      </c>
      <c r="C579" s="34">
        <v>0.89370000000000005</v>
      </c>
      <c r="D579" s="34">
        <v>312.69049999999999</v>
      </c>
      <c r="E579" s="34">
        <v>279.36649</v>
      </c>
      <c r="F579" s="34">
        <v>0</v>
      </c>
      <c r="G579" s="59">
        <f t="shared" si="16"/>
        <v>0.87118875000000007</v>
      </c>
      <c r="H579" s="63">
        <f t="shared" si="17"/>
        <v>0.86918648148148159</v>
      </c>
      <c r="I579" s="65"/>
    </row>
    <row r="580" spans="1:9" x14ac:dyDescent="0.3">
      <c r="A580" s="33">
        <v>45995.459016203706</v>
      </c>
      <c r="B580" s="34">
        <v>5790</v>
      </c>
      <c r="C580" s="34">
        <v>0.89</v>
      </c>
      <c r="D580" s="34">
        <v>311.46550000000002</v>
      </c>
      <c r="E580" s="34">
        <v>277.49151999999998</v>
      </c>
      <c r="F580" s="34">
        <v>0</v>
      </c>
      <c r="G580" s="59">
        <f t="shared" si="16"/>
        <v>0.86688333333333334</v>
      </c>
      <c r="H580" s="63">
        <f t="shared" si="17"/>
        <v>0.86552916666666679</v>
      </c>
      <c r="I580" s="65"/>
    </row>
    <row r="581" spans="1:9" x14ac:dyDescent="0.3">
      <c r="A581" s="33">
        <v>45995.459131944444</v>
      </c>
      <c r="B581" s="34">
        <v>5800</v>
      </c>
      <c r="C581" s="34">
        <v>0.88870000000000005</v>
      </c>
      <c r="D581" s="34">
        <v>310.6155</v>
      </c>
      <c r="E581" s="34">
        <v>276.24158</v>
      </c>
      <c r="F581" s="34">
        <v>0</v>
      </c>
      <c r="G581" s="59">
        <f t="shared" si="16"/>
        <v>0.864001388888889</v>
      </c>
      <c r="H581" s="63">
        <f t="shared" si="17"/>
        <v>0.86300601851851866</v>
      </c>
      <c r="I581" s="65"/>
    </row>
    <row r="582" spans="1:9" x14ac:dyDescent="0.3">
      <c r="A582" s="33">
        <v>45995.459247685183</v>
      </c>
      <c r="B582" s="34">
        <v>5810</v>
      </c>
      <c r="C582" s="34">
        <v>0.88619999999999999</v>
      </c>
      <c r="D582" s="34">
        <v>309.96550000000002</v>
      </c>
      <c r="E582" s="34">
        <v>274.36664000000002</v>
      </c>
      <c r="F582" s="34">
        <v>0</v>
      </c>
      <c r="G582" s="59">
        <f t="shared" si="16"/>
        <v>0.86191805555555556</v>
      </c>
      <c r="H582" s="63">
        <f t="shared" si="17"/>
        <v>0.86113111111111118</v>
      </c>
      <c r="I582" s="65"/>
    </row>
    <row r="583" spans="1:9" x14ac:dyDescent="0.3">
      <c r="A583" s="33">
        <v>45995.459363425929</v>
      </c>
      <c r="B583" s="34">
        <v>5820</v>
      </c>
      <c r="C583" s="34">
        <v>0.88500000000000001</v>
      </c>
      <c r="D583" s="34">
        <v>309.44060000000002</v>
      </c>
      <c r="E583" s="34">
        <v>273.11667</v>
      </c>
      <c r="F583" s="34">
        <v>0</v>
      </c>
      <c r="G583" s="59">
        <f t="shared" si="16"/>
        <v>0.86028625000000003</v>
      </c>
      <c r="H583" s="63">
        <f t="shared" si="17"/>
        <v>0.85962657407407417</v>
      </c>
      <c r="I583" s="65"/>
    </row>
    <row r="584" spans="1:9" x14ac:dyDescent="0.3">
      <c r="A584" s="33">
        <v>45995.459479166668</v>
      </c>
      <c r="B584" s="34">
        <v>5830</v>
      </c>
      <c r="C584" s="34">
        <v>0.88370000000000004</v>
      </c>
      <c r="D584" s="34">
        <v>308.99059999999997</v>
      </c>
      <c r="E584" s="34">
        <v>273.11667</v>
      </c>
      <c r="F584" s="34">
        <v>0</v>
      </c>
      <c r="G584" s="59">
        <f t="shared" si="16"/>
        <v>0.85893222222222221</v>
      </c>
      <c r="H584" s="63">
        <f t="shared" si="17"/>
        <v>0.85837666666666668</v>
      </c>
      <c r="I584" s="65"/>
    </row>
    <row r="585" spans="1:9" x14ac:dyDescent="0.3">
      <c r="A585" s="33">
        <v>45995.459594907406</v>
      </c>
      <c r="B585" s="34">
        <v>5840</v>
      </c>
      <c r="C585" s="34">
        <v>0.88119999999999998</v>
      </c>
      <c r="D585" s="34">
        <v>308.61559999999997</v>
      </c>
      <c r="E585" s="34">
        <v>271.86669999999998</v>
      </c>
      <c r="F585" s="34">
        <v>0</v>
      </c>
      <c r="G585" s="59">
        <f t="shared" si="16"/>
        <v>0.85778638888888881</v>
      </c>
      <c r="H585" s="63">
        <f t="shared" si="17"/>
        <v>0.85731185185185177</v>
      </c>
      <c r="I585" s="65"/>
    </row>
    <row r="586" spans="1:9" x14ac:dyDescent="0.3">
      <c r="A586" s="33">
        <v>45995.459710648145</v>
      </c>
      <c r="B586" s="34">
        <v>5850</v>
      </c>
      <c r="C586" s="34">
        <v>0.88</v>
      </c>
      <c r="D586" s="34">
        <v>308.29059999999998</v>
      </c>
      <c r="E586" s="34">
        <v>271.24173000000002</v>
      </c>
      <c r="F586" s="34">
        <v>0</v>
      </c>
      <c r="G586" s="59">
        <f t="shared" ref="G586:G649" si="18">($B$2/3600)*((D586+D585)/2)</f>
        <v>0.85681416666666654</v>
      </c>
      <c r="H586" s="63">
        <f t="shared" ref="H586:H649" si="19">($B$2/3600)*(D585/3+D586/3+D587/3)</f>
        <v>0.85636277777777781</v>
      </c>
      <c r="I586" s="65"/>
    </row>
    <row r="587" spans="1:9" x14ac:dyDescent="0.3">
      <c r="A587" s="33">
        <v>45995.459826388891</v>
      </c>
      <c r="B587" s="34">
        <v>5860</v>
      </c>
      <c r="C587" s="34">
        <v>0.87870000000000004</v>
      </c>
      <c r="D587" s="34">
        <v>307.96559999999999</v>
      </c>
      <c r="E587" s="34">
        <v>270.61673000000002</v>
      </c>
      <c r="F587" s="34">
        <v>0</v>
      </c>
      <c r="G587" s="59">
        <f t="shared" si="18"/>
        <v>0.85591138888888896</v>
      </c>
      <c r="H587" s="63">
        <f t="shared" si="19"/>
        <v>0.85548314814814819</v>
      </c>
      <c r="I587" s="65"/>
    </row>
    <row r="588" spans="1:9" x14ac:dyDescent="0.3">
      <c r="A588" s="33">
        <v>45995.45994212963</v>
      </c>
      <c r="B588" s="34">
        <v>5870</v>
      </c>
      <c r="C588" s="34">
        <v>0.87870000000000004</v>
      </c>
      <c r="D588" s="34">
        <v>307.66559999999998</v>
      </c>
      <c r="E588" s="34">
        <v>270.61673000000002</v>
      </c>
      <c r="F588" s="34">
        <v>0</v>
      </c>
      <c r="G588" s="59">
        <f t="shared" si="18"/>
        <v>0.85504333333333338</v>
      </c>
      <c r="H588" s="63">
        <f t="shared" si="19"/>
        <v>0.85464981481481483</v>
      </c>
      <c r="I588" s="65"/>
    </row>
    <row r="589" spans="1:9" x14ac:dyDescent="0.3">
      <c r="A589" s="33">
        <v>45995.460057870368</v>
      </c>
      <c r="B589" s="34">
        <v>5880</v>
      </c>
      <c r="C589" s="34">
        <v>0.88</v>
      </c>
      <c r="D589" s="34">
        <v>307.39060000000001</v>
      </c>
      <c r="E589" s="34">
        <v>270.61673000000002</v>
      </c>
      <c r="F589" s="34">
        <v>0</v>
      </c>
      <c r="G589" s="59">
        <f t="shared" si="18"/>
        <v>0.85424472222222225</v>
      </c>
      <c r="H589" s="63">
        <f t="shared" si="19"/>
        <v>0.85386277777777786</v>
      </c>
      <c r="I589" s="65"/>
    </row>
    <row r="590" spans="1:9" x14ac:dyDescent="0.3">
      <c r="A590" s="33">
        <v>45995.460173611114</v>
      </c>
      <c r="B590" s="34">
        <v>5890</v>
      </c>
      <c r="C590" s="34">
        <v>0.87870000000000004</v>
      </c>
      <c r="D590" s="34">
        <v>307.11559999999997</v>
      </c>
      <c r="E590" s="34">
        <v>270.61673000000002</v>
      </c>
      <c r="F590" s="34">
        <v>0</v>
      </c>
      <c r="G590" s="59">
        <f t="shared" si="18"/>
        <v>0.85348083333333347</v>
      </c>
      <c r="H590" s="63">
        <f t="shared" si="19"/>
        <v>0.85312203703703693</v>
      </c>
      <c r="I590" s="65"/>
    </row>
    <row r="591" spans="1:9" x14ac:dyDescent="0.3">
      <c r="A591" s="33">
        <v>45995.460289351853</v>
      </c>
      <c r="B591" s="34">
        <v>5900</v>
      </c>
      <c r="C591" s="34">
        <v>0.87749999999999995</v>
      </c>
      <c r="D591" s="34">
        <v>306.86559999999997</v>
      </c>
      <c r="E591" s="34">
        <v>269.36678999999998</v>
      </c>
      <c r="F591" s="34">
        <v>0</v>
      </c>
      <c r="G591" s="59">
        <f t="shared" si="18"/>
        <v>0.85275166666666657</v>
      </c>
      <c r="H591" s="63">
        <f t="shared" si="19"/>
        <v>0.85240444444444441</v>
      </c>
      <c r="I591" s="65"/>
    </row>
    <row r="592" spans="1:9" x14ac:dyDescent="0.3">
      <c r="A592" s="33">
        <v>45995.460405092592</v>
      </c>
      <c r="B592" s="34">
        <v>5910</v>
      </c>
      <c r="C592" s="34">
        <v>0.87870000000000004</v>
      </c>
      <c r="D592" s="34">
        <v>306.61559999999997</v>
      </c>
      <c r="E592" s="34">
        <v>269.36678999999998</v>
      </c>
      <c r="F592" s="34">
        <v>0</v>
      </c>
      <c r="G592" s="59">
        <f t="shared" si="18"/>
        <v>0.85205722222222213</v>
      </c>
      <c r="H592" s="63">
        <f t="shared" si="19"/>
        <v>0.85173314814814804</v>
      </c>
      <c r="I592" s="65"/>
    </row>
    <row r="593" spans="1:9" x14ac:dyDescent="0.3">
      <c r="A593" s="33">
        <v>45995.460520833331</v>
      </c>
      <c r="B593" s="34">
        <v>5920</v>
      </c>
      <c r="C593" s="34">
        <v>0.87749999999999995</v>
      </c>
      <c r="D593" s="34">
        <v>306.39060000000001</v>
      </c>
      <c r="E593" s="34">
        <v>269.36678999999998</v>
      </c>
      <c r="F593" s="34">
        <v>0</v>
      </c>
      <c r="G593" s="59">
        <f t="shared" si="18"/>
        <v>0.85139750000000003</v>
      </c>
      <c r="H593" s="63">
        <f t="shared" si="19"/>
        <v>0.85108500000000009</v>
      </c>
      <c r="I593" s="65"/>
    </row>
    <row r="594" spans="1:9" x14ac:dyDescent="0.3">
      <c r="A594" s="33">
        <v>45995.460636574076</v>
      </c>
      <c r="B594" s="34">
        <v>5930</v>
      </c>
      <c r="C594" s="34">
        <v>0.87619999999999998</v>
      </c>
      <c r="D594" s="34">
        <v>306.16559999999998</v>
      </c>
      <c r="E594" s="34">
        <v>268.11682000000002</v>
      </c>
      <c r="F594" s="34">
        <v>0</v>
      </c>
      <c r="G594" s="59">
        <f t="shared" si="18"/>
        <v>0.85077250000000004</v>
      </c>
      <c r="H594" s="63">
        <f t="shared" si="19"/>
        <v>0.5671816666666667</v>
      </c>
      <c r="I594" s="66">
        <f>(C600-C594)/(D594/1000)</f>
        <v>1.102671234129504</v>
      </c>
    </row>
    <row r="595" spans="1:9" x14ac:dyDescent="0.3">
      <c r="A595" s="33">
        <v>45995.460752314815</v>
      </c>
      <c r="B595" s="34">
        <v>5940</v>
      </c>
      <c r="C595" s="34">
        <v>1.1825000000000001</v>
      </c>
      <c r="D595" s="34">
        <v>0</v>
      </c>
      <c r="E595" s="34">
        <v>0</v>
      </c>
      <c r="F595" s="34">
        <v>1</v>
      </c>
      <c r="G595" s="59">
        <f t="shared" si="18"/>
        <v>0.42523</v>
      </c>
      <c r="H595" s="63">
        <f t="shared" si="19"/>
        <v>0.28348666666666666</v>
      </c>
      <c r="I595" s="65"/>
    </row>
    <row r="596" spans="1:9" x14ac:dyDescent="0.3">
      <c r="A596" s="33">
        <v>45995.460868055554</v>
      </c>
      <c r="B596" s="34">
        <v>5950</v>
      </c>
      <c r="C596" s="34">
        <v>1.2</v>
      </c>
      <c r="D596" s="34">
        <v>0</v>
      </c>
      <c r="E596" s="34">
        <v>0</v>
      </c>
      <c r="F596" s="34">
        <v>1</v>
      </c>
      <c r="G596" s="59">
        <f t="shared" si="18"/>
        <v>0</v>
      </c>
      <c r="H596" s="63">
        <f t="shared" si="19"/>
        <v>0</v>
      </c>
      <c r="I596" s="65"/>
    </row>
    <row r="597" spans="1:9" x14ac:dyDescent="0.3">
      <c r="A597" s="33">
        <v>45995.4609837963</v>
      </c>
      <c r="B597" s="34">
        <v>5960</v>
      </c>
      <c r="C597" s="34">
        <v>1.2024999999999999</v>
      </c>
      <c r="D597" s="34">
        <v>0</v>
      </c>
      <c r="E597" s="34">
        <v>0</v>
      </c>
      <c r="F597" s="34">
        <v>1</v>
      </c>
      <c r="G597" s="59">
        <f t="shared" si="18"/>
        <v>0</v>
      </c>
      <c r="H597" s="63">
        <f t="shared" si="19"/>
        <v>0</v>
      </c>
      <c r="I597" s="65"/>
    </row>
    <row r="598" spans="1:9" x14ac:dyDescent="0.3">
      <c r="A598" s="33">
        <v>45995.461099537039</v>
      </c>
      <c r="B598" s="34">
        <v>5970</v>
      </c>
      <c r="C598" s="34">
        <v>1.2075</v>
      </c>
      <c r="D598" s="34">
        <v>0</v>
      </c>
      <c r="E598" s="34">
        <v>0</v>
      </c>
      <c r="F598" s="34">
        <v>1</v>
      </c>
      <c r="G598" s="59">
        <f t="shared" si="18"/>
        <v>0</v>
      </c>
      <c r="H598" s="63">
        <f t="shared" si="19"/>
        <v>0</v>
      </c>
      <c r="I598" s="65"/>
    </row>
    <row r="599" spans="1:9" x14ac:dyDescent="0.3">
      <c r="A599" s="33">
        <v>45995.461215277777</v>
      </c>
      <c r="B599" s="34">
        <v>5980</v>
      </c>
      <c r="C599" s="34">
        <v>1.2112000000000001</v>
      </c>
      <c r="D599" s="34">
        <v>0</v>
      </c>
      <c r="E599" s="34">
        <v>0</v>
      </c>
      <c r="F599" s="34">
        <v>1</v>
      </c>
      <c r="G599" s="59">
        <f t="shared" si="18"/>
        <v>0</v>
      </c>
      <c r="H599" s="63">
        <f t="shared" si="19"/>
        <v>0</v>
      </c>
      <c r="I599" s="65"/>
    </row>
    <row r="600" spans="1:9" x14ac:dyDescent="0.3">
      <c r="A600" s="33">
        <v>45995.461331018516</v>
      </c>
      <c r="B600" s="34">
        <v>5990</v>
      </c>
      <c r="C600" s="34">
        <v>1.2138</v>
      </c>
      <c r="D600" s="34">
        <v>0</v>
      </c>
      <c r="E600" s="34">
        <v>0</v>
      </c>
      <c r="F600" s="34">
        <v>1</v>
      </c>
      <c r="G600" s="59">
        <f t="shared" si="18"/>
        <v>0</v>
      </c>
      <c r="H600" s="63">
        <f t="shared" si="19"/>
        <v>0.29337064814814817</v>
      </c>
      <c r="I600" s="65"/>
    </row>
    <row r="601" spans="1:9" x14ac:dyDescent="0.3">
      <c r="A601" s="33">
        <v>45995.461446759262</v>
      </c>
      <c r="B601" s="34">
        <v>6000</v>
      </c>
      <c r="C601" s="34">
        <v>0.90749999999999997</v>
      </c>
      <c r="D601" s="34">
        <v>316.84030000000001</v>
      </c>
      <c r="E601" s="34">
        <v>287.49121000000002</v>
      </c>
      <c r="F601" s="34">
        <v>0</v>
      </c>
      <c r="G601" s="59">
        <f t="shared" si="18"/>
        <v>0.44005597222222226</v>
      </c>
      <c r="H601" s="63">
        <f t="shared" si="19"/>
        <v>0.58262101851851855</v>
      </c>
      <c r="I601" s="66">
        <f>(C600-C601)/(D601/1000)</f>
        <v>0.96673308288118653</v>
      </c>
    </row>
    <row r="602" spans="1:9" x14ac:dyDescent="0.3">
      <c r="A602" s="33">
        <v>45995.461562500001</v>
      </c>
      <c r="B602" s="34">
        <v>6010</v>
      </c>
      <c r="C602" s="34">
        <v>0.89370000000000005</v>
      </c>
      <c r="D602" s="34">
        <v>312.3904</v>
      </c>
      <c r="E602" s="34">
        <v>279.36649</v>
      </c>
      <c r="F602" s="34">
        <v>0</v>
      </c>
      <c r="G602" s="59">
        <f t="shared" si="18"/>
        <v>0.87393152777777794</v>
      </c>
      <c r="H602" s="63">
        <f t="shared" si="19"/>
        <v>0.87001962962962964</v>
      </c>
      <c r="I602" s="65"/>
    </row>
    <row r="603" spans="1:9" x14ac:dyDescent="0.3">
      <c r="A603" s="33">
        <v>45995.461678240739</v>
      </c>
      <c r="B603" s="34">
        <v>6020</v>
      </c>
      <c r="C603" s="34">
        <v>0.88870000000000005</v>
      </c>
      <c r="D603" s="34">
        <v>310.39049999999997</v>
      </c>
      <c r="E603" s="34">
        <v>275.61658</v>
      </c>
      <c r="F603" s="34">
        <v>0</v>
      </c>
      <c r="G603" s="59">
        <f t="shared" si="18"/>
        <v>0.86497347222222221</v>
      </c>
      <c r="H603" s="63">
        <f t="shared" si="19"/>
        <v>0.86289027777777794</v>
      </c>
      <c r="I603" s="65"/>
    </row>
    <row r="604" spans="1:9" x14ac:dyDescent="0.3">
      <c r="A604" s="33">
        <v>45995.461793981478</v>
      </c>
      <c r="B604" s="34">
        <v>6030</v>
      </c>
      <c r="C604" s="34">
        <v>0.88370000000000004</v>
      </c>
      <c r="D604" s="34">
        <v>309.14060000000001</v>
      </c>
      <c r="E604" s="34">
        <v>273.11667</v>
      </c>
      <c r="F604" s="34">
        <v>0</v>
      </c>
      <c r="G604" s="59">
        <f t="shared" si="18"/>
        <v>0.86045986111111106</v>
      </c>
      <c r="H604" s="63">
        <f t="shared" si="19"/>
        <v>0.85907101851851864</v>
      </c>
      <c r="I604" s="65"/>
    </row>
    <row r="605" spans="1:9" x14ac:dyDescent="0.3">
      <c r="A605" s="33">
        <v>45995.461909722224</v>
      </c>
      <c r="B605" s="34">
        <v>6040</v>
      </c>
      <c r="C605" s="34">
        <v>0.88119999999999998</v>
      </c>
      <c r="D605" s="34">
        <v>308.26560000000001</v>
      </c>
      <c r="E605" s="34">
        <v>271.24173000000002</v>
      </c>
      <c r="F605" s="34">
        <v>0</v>
      </c>
      <c r="G605" s="59">
        <f t="shared" si="18"/>
        <v>0.85750861111111121</v>
      </c>
      <c r="H605" s="63">
        <f t="shared" si="19"/>
        <v>0.85647851851851853</v>
      </c>
      <c r="I605" s="65"/>
    </row>
    <row r="606" spans="1:9" x14ac:dyDescent="0.3">
      <c r="A606" s="33">
        <v>45995.462025462963</v>
      </c>
      <c r="B606" s="34">
        <v>6050</v>
      </c>
      <c r="C606" s="34">
        <v>0.88249999999999995</v>
      </c>
      <c r="D606" s="34">
        <v>307.59059999999999</v>
      </c>
      <c r="E606" s="34">
        <v>271.24173000000002</v>
      </c>
      <c r="F606" s="34">
        <v>0</v>
      </c>
      <c r="G606" s="59">
        <f t="shared" si="18"/>
        <v>0.85535583333333332</v>
      </c>
      <c r="H606" s="63">
        <f t="shared" si="19"/>
        <v>0.8545572222222223</v>
      </c>
      <c r="I606" s="65"/>
    </row>
    <row r="607" spans="1:9" x14ac:dyDescent="0.3">
      <c r="A607" s="33">
        <v>45995.462141203701</v>
      </c>
      <c r="B607" s="34">
        <v>6060</v>
      </c>
      <c r="C607" s="34">
        <v>0.87619999999999998</v>
      </c>
      <c r="D607" s="34">
        <v>307.06560000000002</v>
      </c>
      <c r="E607" s="34">
        <v>269.36678999999998</v>
      </c>
      <c r="F607" s="34">
        <v>0</v>
      </c>
      <c r="G607" s="59">
        <f t="shared" si="18"/>
        <v>0.85368916666666672</v>
      </c>
      <c r="H607" s="63">
        <f t="shared" si="19"/>
        <v>0.85305259259259258</v>
      </c>
      <c r="I607" s="65"/>
    </row>
    <row r="608" spans="1:9" x14ac:dyDescent="0.3">
      <c r="A608" s="33">
        <v>45995.462256944447</v>
      </c>
      <c r="B608" s="34">
        <v>6070</v>
      </c>
      <c r="C608" s="34">
        <v>0.87870000000000004</v>
      </c>
      <c r="D608" s="34">
        <v>306.64060000000001</v>
      </c>
      <c r="E608" s="34">
        <v>269.36678999999998</v>
      </c>
      <c r="F608" s="34">
        <v>0</v>
      </c>
      <c r="G608" s="59">
        <f t="shared" si="18"/>
        <v>0.8523697222222224</v>
      </c>
      <c r="H608" s="63">
        <f t="shared" si="19"/>
        <v>0.85180259259259261</v>
      </c>
      <c r="I608" s="65"/>
    </row>
    <row r="609" spans="1:9" x14ac:dyDescent="0.3">
      <c r="A609" s="33">
        <v>45995.462372685186</v>
      </c>
      <c r="B609" s="34">
        <v>6080</v>
      </c>
      <c r="C609" s="34">
        <v>0.87749999999999995</v>
      </c>
      <c r="D609" s="34">
        <v>306.24059999999997</v>
      </c>
      <c r="E609" s="34">
        <v>268.11682000000002</v>
      </c>
      <c r="F609" s="34">
        <v>0</v>
      </c>
      <c r="G609" s="59">
        <f t="shared" si="18"/>
        <v>0.851223888888889</v>
      </c>
      <c r="H609" s="63">
        <f t="shared" si="19"/>
        <v>0.8507377777777777</v>
      </c>
      <c r="I609" s="65"/>
    </row>
    <row r="610" spans="1:9" x14ac:dyDescent="0.3">
      <c r="A610" s="33">
        <v>45995.462488425925</v>
      </c>
      <c r="B610" s="34">
        <v>6090</v>
      </c>
      <c r="C610" s="34">
        <v>0.87619999999999998</v>
      </c>
      <c r="D610" s="34">
        <v>305.91559999999998</v>
      </c>
      <c r="E610" s="34">
        <v>268.11682000000002</v>
      </c>
      <c r="F610" s="34">
        <v>0</v>
      </c>
      <c r="G610" s="59">
        <f t="shared" si="18"/>
        <v>0.85021694444444429</v>
      </c>
      <c r="H610" s="63">
        <f t="shared" si="19"/>
        <v>0.84974249999999996</v>
      </c>
      <c r="I610" s="65"/>
    </row>
    <row r="611" spans="1:9" x14ac:dyDescent="0.3">
      <c r="A611" s="33">
        <v>45995.462604166663</v>
      </c>
      <c r="B611" s="34">
        <v>6100</v>
      </c>
      <c r="C611" s="34">
        <v>0.875</v>
      </c>
      <c r="D611" s="34">
        <v>305.56569999999999</v>
      </c>
      <c r="E611" s="34">
        <v>267.49182000000002</v>
      </c>
      <c r="F611" s="34">
        <v>0</v>
      </c>
      <c r="G611" s="59">
        <f t="shared" si="18"/>
        <v>0.8492795833333332</v>
      </c>
      <c r="H611" s="63">
        <f t="shared" si="19"/>
        <v>0.84881666666666655</v>
      </c>
      <c r="I611" s="65"/>
    </row>
    <row r="612" spans="1:9" x14ac:dyDescent="0.3">
      <c r="A612" s="33">
        <v>45995.462719907409</v>
      </c>
      <c r="B612" s="34">
        <v>6110</v>
      </c>
      <c r="C612" s="34">
        <v>0.87370000000000003</v>
      </c>
      <c r="D612" s="34">
        <v>305.2407</v>
      </c>
      <c r="E612" s="34">
        <v>266.24187999999998</v>
      </c>
      <c r="F612" s="34">
        <v>0</v>
      </c>
      <c r="G612" s="59">
        <f t="shared" si="18"/>
        <v>0.84834222222222222</v>
      </c>
      <c r="H612" s="63">
        <f t="shared" si="19"/>
        <v>0.84793712962962964</v>
      </c>
      <c r="I612" s="65"/>
    </row>
    <row r="613" spans="1:9" x14ac:dyDescent="0.3">
      <c r="A613" s="33">
        <v>45995.462835648148</v>
      </c>
      <c r="B613" s="34">
        <v>6120</v>
      </c>
      <c r="C613" s="34">
        <v>0.87370000000000003</v>
      </c>
      <c r="D613" s="34">
        <v>304.96570000000003</v>
      </c>
      <c r="E613" s="34">
        <v>266.24187999999998</v>
      </c>
      <c r="F613" s="34">
        <v>0</v>
      </c>
      <c r="G613" s="59">
        <f t="shared" si="18"/>
        <v>0.84750888888888898</v>
      </c>
      <c r="H613" s="63">
        <f t="shared" si="19"/>
        <v>0.84712694444444436</v>
      </c>
      <c r="I613" s="65"/>
    </row>
    <row r="614" spans="1:9" x14ac:dyDescent="0.3">
      <c r="A614" s="33">
        <v>45995.462951388887</v>
      </c>
      <c r="B614" s="34">
        <v>6130</v>
      </c>
      <c r="C614" s="34">
        <v>0.87250000000000005</v>
      </c>
      <c r="D614" s="34">
        <v>304.69069999999999</v>
      </c>
      <c r="E614" s="34">
        <v>265.61687999999998</v>
      </c>
      <c r="F614" s="34">
        <v>0</v>
      </c>
      <c r="G614" s="59">
        <f t="shared" si="18"/>
        <v>0.84674500000000019</v>
      </c>
      <c r="H614" s="63">
        <f t="shared" si="19"/>
        <v>0.84638620370370365</v>
      </c>
      <c r="I614" s="65"/>
    </row>
    <row r="615" spans="1:9" x14ac:dyDescent="0.3">
      <c r="A615" s="33">
        <v>45995.463067129633</v>
      </c>
      <c r="B615" s="34">
        <v>6140</v>
      </c>
      <c r="C615" s="34">
        <v>0.87119999999999997</v>
      </c>
      <c r="D615" s="34">
        <v>304.44069999999999</v>
      </c>
      <c r="E615" s="34">
        <v>264.99191000000002</v>
      </c>
      <c r="F615" s="34">
        <v>0</v>
      </c>
      <c r="G615" s="59">
        <f t="shared" si="18"/>
        <v>0.8460158333333333</v>
      </c>
      <c r="H615" s="63">
        <f t="shared" si="19"/>
        <v>0.84566861111111113</v>
      </c>
      <c r="I615" s="65"/>
    </row>
    <row r="616" spans="1:9" x14ac:dyDescent="0.3">
      <c r="A616" s="33">
        <v>45995.463182870371</v>
      </c>
      <c r="B616" s="34">
        <v>6150</v>
      </c>
      <c r="C616" s="34">
        <v>0.87</v>
      </c>
      <c r="D616" s="34">
        <v>304.19069999999999</v>
      </c>
      <c r="E616" s="34">
        <v>264.36694</v>
      </c>
      <c r="F616" s="34">
        <v>0</v>
      </c>
      <c r="G616" s="59">
        <f t="shared" si="18"/>
        <v>0.84532138888888886</v>
      </c>
      <c r="H616" s="63">
        <f t="shared" si="19"/>
        <v>0.84497416666666669</v>
      </c>
      <c r="I616" s="65"/>
    </row>
    <row r="617" spans="1:9" x14ac:dyDescent="0.3">
      <c r="A617" s="33">
        <v>45995.46329861111</v>
      </c>
      <c r="B617" s="34">
        <v>6160</v>
      </c>
      <c r="C617" s="34">
        <v>0.86870000000000003</v>
      </c>
      <c r="D617" s="34">
        <v>303.94069999999999</v>
      </c>
      <c r="E617" s="34">
        <v>264.36694</v>
      </c>
      <c r="F617" s="34">
        <v>0</v>
      </c>
      <c r="G617" s="59">
        <f t="shared" si="18"/>
        <v>0.84462694444444442</v>
      </c>
      <c r="H617" s="63">
        <f t="shared" si="19"/>
        <v>0.84430287037037033</v>
      </c>
      <c r="I617" s="65"/>
    </row>
    <row r="618" spans="1:9" x14ac:dyDescent="0.3">
      <c r="A618" s="33">
        <v>45995.463414351849</v>
      </c>
      <c r="B618" s="34">
        <v>6170</v>
      </c>
      <c r="C618" s="34">
        <v>0.87</v>
      </c>
      <c r="D618" s="34">
        <v>303.71570000000003</v>
      </c>
      <c r="E618" s="34">
        <v>264.36694</v>
      </c>
      <c r="F618" s="34">
        <v>0</v>
      </c>
      <c r="G618" s="59">
        <f t="shared" si="18"/>
        <v>0.84396722222222231</v>
      </c>
      <c r="H618" s="63">
        <f t="shared" si="19"/>
        <v>0.56264481481481488</v>
      </c>
      <c r="I618" s="66">
        <f>(C624-C618)/(D618/1000)</f>
        <v>1.1194679761368935</v>
      </c>
    </row>
    <row r="619" spans="1:9" x14ac:dyDescent="0.3">
      <c r="A619" s="33">
        <v>45995.463530092595</v>
      </c>
      <c r="B619" s="34">
        <v>6180</v>
      </c>
      <c r="C619" s="34">
        <v>1.18</v>
      </c>
      <c r="D619" s="34">
        <v>0</v>
      </c>
      <c r="E619" s="34">
        <v>0</v>
      </c>
      <c r="F619" s="34">
        <v>1</v>
      </c>
      <c r="G619" s="59">
        <f t="shared" si="18"/>
        <v>0.42182736111111119</v>
      </c>
      <c r="H619" s="63">
        <f t="shared" si="19"/>
        <v>0.28121824074074075</v>
      </c>
      <c r="I619" s="65"/>
    </row>
    <row r="620" spans="1:9" x14ac:dyDescent="0.3">
      <c r="A620" s="33">
        <v>45995.463645833333</v>
      </c>
      <c r="B620" s="34">
        <v>6190</v>
      </c>
      <c r="C620" s="34">
        <v>1.1950000000000001</v>
      </c>
      <c r="D620" s="34">
        <v>0</v>
      </c>
      <c r="E620" s="34">
        <v>0</v>
      </c>
      <c r="F620" s="34">
        <v>1</v>
      </c>
      <c r="G620" s="59">
        <f t="shared" si="18"/>
        <v>0</v>
      </c>
      <c r="H620" s="63">
        <f t="shared" si="19"/>
        <v>0</v>
      </c>
      <c r="I620" s="65"/>
    </row>
    <row r="621" spans="1:9" x14ac:dyDescent="0.3">
      <c r="A621" s="33">
        <v>45995.463761574072</v>
      </c>
      <c r="B621" s="34">
        <v>6200</v>
      </c>
      <c r="C621" s="34">
        <v>1.1988000000000001</v>
      </c>
      <c r="D621" s="34">
        <v>0</v>
      </c>
      <c r="E621" s="34">
        <v>0</v>
      </c>
      <c r="F621" s="34">
        <v>1</v>
      </c>
      <c r="G621" s="59">
        <f t="shared" si="18"/>
        <v>0</v>
      </c>
      <c r="H621" s="63">
        <f t="shared" si="19"/>
        <v>2.314814814814815E-5</v>
      </c>
      <c r="I621" s="65"/>
    </row>
    <row r="622" spans="1:9" x14ac:dyDescent="0.3">
      <c r="A622" s="33">
        <v>45995.463877314818</v>
      </c>
      <c r="B622" s="34">
        <v>6210</v>
      </c>
      <c r="C622" s="34">
        <v>1.2038</v>
      </c>
      <c r="D622" s="34">
        <v>2.5000000000000001E-2</v>
      </c>
      <c r="E622" s="34">
        <v>0</v>
      </c>
      <c r="F622" s="34">
        <v>1</v>
      </c>
      <c r="G622" s="59">
        <f t="shared" si="18"/>
        <v>3.4722222222222222E-5</v>
      </c>
      <c r="H622" s="63">
        <f t="shared" si="19"/>
        <v>2.314814814814815E-5</v>
      </c>
      <c r="I622" s="65"/>
    </row>
    <row r="623" spans="1:9" x14ac:dyDescent="0.3">
      <c r="A623" s="33">
        <v>45995.463993055557</v>
      </c>
      <c r="B623" s="34">
        <v>6220</v>
      </c>
      <c r="C623" s="34">
        <v>1.2075</v>
      </c>
      <c r="D623" s="34">
        <v>0</v>
      </c>
      <c r="E623" s="34">
        <v>0</v>
      </c>
      <c r="F623" s="34">
        <v>1</v>
      </c>
      <c r="G623" s="59">
        <f t="shared" si="18"/>
        <v>3.4722222222222222E-5</v>
      </c>
      <c r="H623" s="63">
        <f t="shared" si="19"/>
        <v>2.314814814814815E-5</v>
      </c>
      <c r="I623" s="65"/>
    </row>
    <row r="624" spans="1:9" x14ac:dyDescent="0.3">
      <c r="A624" s="33">
        <v>45995.464108796295</v>
      </c>
      <c r="B624" s="34">
        <v>6230</v>
      </c>
      <c r="C624" s="34">
        <v>1.21</v>
      </c>
      <c r="D624" s="34">
        <v>0</v>
      </c>
      <c r="E624" s="34">
        <v>0</v>
      </c>
      <c r="F624" s="34">
        <v>1</v>
      </c>
      <c r="G624" s="59">
        <f t="shared" si="18"/>
        <v>0</v>
      </c>
      <c r="H624" s="63">
        <f t="shared" si="19"/>
        <v>0.29165777777777779</v>
      </c>
      <c r="I624" s="65"/>
    </row>
    <row r="625" spans="1:9" x14ac:dyDescent="0.3">
      <c r="A625" s="33">
        <v>45995.464224537034</v>
      </c>
      <c r="B625" s="34">
        <v>6240</v>
      </c>
      <c r="C625" s="34">
        <v>0.90380000000000005</v>
      </c>
      <c r="D625" s="34">
        <v>314.99040000000002</v>
      </c>
      <c r="E625" s="34">
        <v>284.36633</v>
      </c>
      <c r="F625" s="34">
        <v>0</v>
      </c>
      <c r="G625" s="59">
        <f t="shared" si="18"/>
        <v>0.43748666666666669</v>
      </c>
      <c r="H625" s="63">
        <f t="shared" si="19"/>
        <v>0.57891750000000008</v>
      </c>
      <c r="I625" s="66">
        <f>(C624-C625)/(D625/1000)</f>
        <v>0.97209311775850915</v>
      </c>
    </row>
    <row r="626" spans="1:9" x14ac:dyDescent="0.3">
      <c r="A626" s="33">
        <v>45995.46434027778</v>
      </c>
      <c r="B626" s="34">
        <v>6250</v>
      </c>
      <c r="C626" s="34">
        <v>0.88870000000000005</v>
      </c>
      <c r="D626" s="34">
        <v>310.2405</v>
      </c>
      <c r="E626" s="34">
        <v>275.61658</v>
      </c>
      <c r="F626" s="34">
        <v>0</v>
      </c>
      <c r="G626" s="59">
        <f t="shared" si="18"/>
        <v>0.86837625000000007</v>
      </c>
      <c r="H626" s="63">
        <f t="shared" si="19"/>
        <v>0.86425601851851852</v>
      </c>
      <c r="I626" s="65"/>
    </row>
    <row r="627" spans="1:9" x14ac:dyDescent="0.3">
      <c r="A627" s="33">
        <v>45995.464456018519</v>
      </c>
      <c r="B627" s="34">
        <v>6260</v>
      </c>
      <c r="C627" s="34">
        <v>0.88119999999999998</v>
      </c>
      <c r="D627" s="34">
        <v>308.16559999999998</v>
      </c>
      <c r="E627" s="34">
        <v>271.24173000000002</v>
      </c>
      <c r="F627" s="34">
        <v>0</v>
      </c>
      <c r="G627" s="59">
        <f t="shared" si="18"/>
        <v>0.85889736111111104</v>
      </c>
      <c r="H627" s="63">
        <f t="shared" si="19"/>
        <v>0.85675620370370376</v>
      </c>
      <c r="I627" s="65"/>
    </row>
    <row r="628" spans="1:9" x14ac:dyDescent="0.3">
      <c r="A628" s="33">
        <v>45995.464571759258</v>
      </c>
      <c r="B628" s="34">
        <v>6270</v>
      </c>
      <c r="C628" s="34">
        <v>0.88</v>
      </c>
      <c r="D628" s="34">
        <v>306.89060000000001</v>
      </c>
      <c r="E628" s="34">
        <v>269.99176</v>
      </c>
      <c r="F628" s="34">
        <v>0</v>
      </c>
      <c r="G628" s="59">
        <f t="shared" si="18"/>
        <v>0.85424472222222225</v>
      </c>
      <c r="H628" s="63">
        <f t="shared" si="19"/>
        <v>0.85282120370370362</v>
      </c>
      <c r="I628" s="65"/>
    </row>
    <row r="629" spans="1:9" x14ac:dyDescent="0.3">
      <c r="A629" s="33">
        <v>45995.464687500003</v>
      </c>
      <c r="B629" s="34">
        <v>6280</v>
      </c>
      <c r="C629" s="34">
        <v>0.87749999999999995</v>
      </c>
      <c r="D629" s="34">
        <v>305.9907</v>
      </c>
      <c r="E629" s="34">
        <v>268.11682000000002</v>
      </c>
      <c r="F629" s="34">
        <v>0</v>
      </c>
      <c r="G629" s="59">
        <f t="shared" si="18"/>
        <v>0.85122402777777784</v>
      </c>
      <c r="H629" s="63">
        <f t="shared" si="19"/>
        <v>0.85015925925925939</v>
      </c>
      <c r="I629" s="65"/>
    </row>
    <row r="630" spans="1:9" x14ac:dyDescent="0.3">
      <c r="A630" s="33">
        <v>45995.464803240742</v>
      </c>
      <c r="B630" s="34">
        <v>6290</v>
      </c>
      <c r="C630" s="34">
        <v>0.875</v>
      </c>
      <c r="D630" s="34">
        <v>305.29070000000002</v>
      </c>
      <c r="E630" s="34">
        <v>267.49182000000002</v>
      </c>
      <c r="F630" s="34">
        <v>0</v>
      </c>
      <c r="G630" s="59">
        <f t="shared" si="18"/>
        <v>0.84900194444444455</v>
      </c>
      <c r="H630" s="63">
        <f t="shared" si="19"/>
        <v>0.84819175925925938</v>
      </c>
      <c r="I630" s="65"/>
    </row>
    <row r="631" spans="1:9" x14ac:dyDescent="0.3">
      <c r="A631" s="33">
        <v>45995.464918981481</v>
      </c>
      <c r="B631" s="34">
        <v>6300</v>
      </c>
      <c r="C631" s="34">
        <v>0.87250000000000005</v>
      </c>
      <c r="D631" s="34">
        <v>304.76569999999998</v>
      </c>
      <c r="E631" s="34">
        <v>265.61687999999998</v>
      </c>
      <c r="F631" s="34">
        <v>0</v>
      </c>
      <c r="G631" s="59">
        <f t="shared" si="18"/>
        <v>0.8473005555555555</v>
      </c>
      <c r="H631" s="63">
        <f t="shared" si="19"/>
        <v>0.84661768518518532</v>
      </c>
      <c r="I631" s="65"/>
    </row>
    <row r="632" spans="1:9" x14ac:dyDescent="0.3">
      <c r="A632" s="33">
        <v>45995.46503472222</v>
      </c>
      <c r="B632" s="34">
        <v>6310</v>
      </c>
      <c r="C632" s="34">
        <v>0.87119999999999997</v>
      </c>
      <c r="D632" s="34">
        <v>304.29070000000002</v>
      </c>
      <c r="E632" s="34">
        <v>264.99191000000002</v>
      </c>
      <c r="F632" s="34">
        <v>0</v>
      </c>
      <c r="G632" s="59">
        <f t="shared" si="18"/>
        <v>0.84591166666666662</v>
      </c>
      <c r="H632" s="63">
        <f t="shared" si="19"/>
        <v>0.84532138888888886</v>
      </c>
      <c r="I632" s="65"/>
    </row>
    <row r="633" spans="1:9" x14ac:dyDescent="0.3">
      <c r="A633" s="33">
        <v>45995.465150462966</v>
      </c>
      <c r="B633" s="34">
        <v>6320</v>
      </c>
      <c r="C633" s="34">
        <v>0.87</v>
      </c>
      <c r="D633" s="34">
        <v>303.89069999999998</v>
      </c>
      <c r="E633" s="34">
        <v>264.36694</v>
      </c>
      <c r="F633" s="34">
        <v>0</v>
      </c>
      <c r="G633" s="59">
        <f t="shared" si="18"/>
        <v>0.84469638888888887</v>
      </c>
      <c r="H633" s="63">
        <f t="shared" si="19"/>
        <v>0.84418712962962961</v>
      </c>
      <c r="I633" s="65"/>
    </row>
    <row r="634" spans="1:9" x14ac:dyDescent="0.3">
      <c r="A634" s="33">
        <v>45995.465266203704</v>
      </c>
      <c r="B634" s="34">
        <v>6330</v>
      </c>
      <c r="C634" s="34">
        <v>0.87</v>
      </c>
      <c r="D634" s="34">
        <v>303.54070000000002</v>
      </c>
      <c r="E634" s="34">
        <v>263.74194</v>
      </c>
      <c r="F634" s="34">
        <v>0</v>
      </c>
      <c r="G634" s="59">
        <f t="shared" si="18"/>
        <v>0.84365472222222215</v>
      </c>
      <c r="H634" s="63">
        <f t="shared" si="19"/>
        <v>0.84316861111111108</v>
      </c>
      <c r="I634" s="65"/>
    </row>
    <row r="635" spans="1:9" x14ac:dyDescent="0.3">
      <c r="A635" s="33">
        <v>45995.465381944443</v>
      </c>
      <c r="B635" s="34">
        <v>6340</v>
      </c>
      <c r="C635" s="34">
        <v>0.86870000000000003</v>
      </c>
      <c r="D635" s="34">
        <v>303.19069999999999</v>
      </c>
      <c r="E635" s="34">
        <v>263.11696999999998</v>
      </c>
      <c r="F635" s="34">
        <v>0</v>
      </c>
      <c r="G635" s="59">
        <f t="shared" si="18"/>
        <v>0.8426825</v>
      </c>
      <c r="H635" s="63">
        <f t="shared" si="19"/>
        <v>0.84224268518518519</v>
      </c>
      <c r="I635" s="65"/>
    </row>
    <row r="636" spans="1:9" x14ac:dyDescent="0.3">
      <c r="A636" s="33">
        <v>45995.465497685182</v>
      </c>
      <c r="B636" s="34">
        <v>6350</v>
      </c>
      <c r="C636" s="34">
        <v>0.86750000000000005</v>
      </c>
      <c r="D636" s="34">
        <v>302.89069999999998</v>
      </c>
      <c r="E636" s="34">
        <v>262.49200000000002</v>
      </c>
      <c r="F636" s="34">
        <v>0</v>
      </c>
      <c r="G636" s="59">
        <f t="shared" si="18"/>
        <v>0.8417797222222223</v>
      </c>
      <c r="H636" s="63">
        <f t="shared" si="19"/>
        <v>0.84138629629629635</v>
      </c>
      <c r="I636" s="65"/>
    </row>
    <row r="637" spans="1:9" x14ac:dyDescent="0.3">
      <c r="A637" s="33">
        <v>45995.465613425928</v>
      </c>
      <c r="B637" s="34">
        <v>6360</v>
      </c>
      <c r="C637" s="34">
        <v>0.86619999999999997</v>
      </c>
      <c r="D637" s="34">
        <v>302.61579999999998</v>
      </c>
      <c r="E637" s="34">
        <v>261.86700000000002</v>
      </c>
      <c r="F637" s="34">
        <v>0</v>
      </c>
      <c r="G637" s="59">
        <f t="shared" si="18"/>
        <v>0.84098125000000001</v>
      </c>
      <c r="H637" s="63">
        <f t="shared" si="19"/>
        <v>0.84062250000000005</v>
      </c>
      <c r="I637" s="65"/>
    </row>
    <row r="638" spans="1:9" x14ac:dyDescent="0.3">
      <c r="A638" s="33">
        <v>45995.465729166666</v>
      </c>
      <c r="B638" s="34">
        <v>6370</v>
      </c>
      <c r="C638" s="34">
        <v>0.86370000000000002</v>
      </c>
      <c r="D638" s="34">
        <v>302.36579999999998</v>
      </c>
      <c r="E638" s="34">
        <v>261.24203</v>
      </c>
      <c r="F638" s="34">
        <v>0</v>
      </c>
      <c r="G638" s="59">
        <f t="shared" si="18"/>
        <v>0.84025222222222218</v>
      </c>
      <c r="H638" s="63">
        <f t="shared" si="19"/>
        <v>0.83988185185185182</v>
      </c>
      <c r="I638" s="65"/>
    </row>
    <row r="639" spans="1:9" x14ac:dyDescent="0.3">
      <c r="A639" s="33">
        <v>45995.465844907405</v>
      </c>
      <c r="B639" s="34">
        <v>6380</v>
      </c>
      <c r="C639" s="34">
        <v>0.86370000000000002</v>
      </c>
      <c r="D639" s="34">
        <v>302.0908</v>
      </c>
      <c r="E639" s="34">
        <v>261.24203</v>
      </c>
      <c r="F639" s="34">
        <v>0</v>
      </c>
      <c r="G639" s="59">
        <f t="shared" si="18"/>
        <v>0.83952305555555551</v>
      </c>
      <c r="H639" s="63">
        <f t="shared" si="19"/>
        <v>0.83918740740740738</v>
      </c>
      <c r="I639" s="65"/>
    </row>
    <row r="640" spans="1:9" x14ac:dyDescent="0.3">
      <c r="A640" s="33">
        <v>45995.465960648151</v>
      </c>
      <c r="B640" s="34">
        <v>6390</v>
      </c>
      <c r="C640" s="34">
        <v>0.86370000000000002</v>
      </c>
      <c r="D640" s="34">
        <v>301.86579999999998</v>
      </c>
      <c r="E640" s="34">
        <v>261.24203</v>
      </c>
      <c r="F640" s="34">
        <v>0</v>
      </c>
      <c r="G640" s="59">
        <f t="shared" si="18"/>
        <v>0.83882861111111107</v>
      </c>
      <c r="H640" s="63">
        <f t="shared" si="19"/>
        <v>0.83851611111111124</v>
      </c>
      <c r="I640" s="65"/>
    </row>
    <row r="641" spans="1:9" x14ac:dyDescent="0.3">
      <c r="A641" s="33">
        <v>45995.46607638889</v>
      </c>
      <c r="B641" s="34">
        <v>6400</v>
      </c>
      <c r="C641" s="34">
        <v>0.86370000000000002</v>
      </c>
      <c r="D641" s="34">
        <v>301.64080000000001</v>
      </c>
      <c r="E641" s="34">
        <v>259.99207000000001</v>
      </c>
      <c r="F641" s="34">
        <v>0</v>
      </c>
      <c r="G641" s="59">
        <f t="shared" si="18"/>
        <v>0.83820361111111108</v>
      </c>
      <c r="H641" s="63">
        <f t="shared" si="19"/>
        <v>0.83789111111111114</v>
      </c>
      <c r="I641" s="65"/>
    </row>
    <row r="642" spans="1:9" x14ac:dyDescent="0.3">
      <c r="A642" s="33">
        <v>45995.466192129628</v>
      </c>
      <c r="B642" s="34">
        <v>6410</v>
      </c>
      <c r="C642" s="34">
        <v>0.86250000000000004</v>
      </c>
      <c r="D642" s="34">
        <v>301.41579999999999</v>
      </c>
      <c r="E642" s="34">
        <v>259.99207000000001</v>
      </c>
      <c r="F642" s="34">
        <v>0</v>
      </c>
      <c r="G642" s="59">
        <f t="shared" si="18"/>
        <v>0.83757861111111109</v>
      </c>
      <c r="H642" s="63">
        <f t="shared" si="19"/>
        <v>0.55838574074074077</v>
      </c>
      <c r="I642" s="66">
        <f>(C648-C642)/(D642/1000)</f>
        <v>1.1445982592816963</v>
      </c>
    </row>
    <row r="643" spans="1:9" x14ac:dyDescent="0.3">
      <c r="A643" s="33">
        <v>45995.466307870367</v>
      </c>
      <c r="B643" s="34">
        <v>6420</v>
      </c>
      <c r="C643" s="34">
        <v>1.175</v>
      </c>
      <c r="D643" s="34">
        <v>0</v>
      </c>
      <c r="E643" s="34">
        <v>0</v>
      </c>
      <c r="F643" s="34">
        <v>1</v>
      </c>
      <c r="G643" s="59">
        <f t="shared" si="18"/>
        <v>0.41863305555555558</v>
      </c>
      <c r="H643" s="63">
        <f t="shared" si="19"/>
        <v>0.2790887037037037</v>
      </c>
      <c r="I643" s="65"/>
    </row>
    <row r="644" spans="1:9" x14ac:dyDescent="0.3">
      <c r="A644" s="33">
        <v>45995.466423611113</v>
      </c>
      <c r="B644" s="34">
        <v>6430</v>
      </c>
      <c r="C644" s="34">
        <v>1.1912</v>
      </c>
      <c r="D644" s="34">
        <v>0</v>
      </c>
      <c r="E644" s="34">
        <v>0</v>
      </c>
      <c r="F644" s="34">
        <v>1</v>
      </c>
      <c r="G644" s="59">
        <f t="shared" si="18"/>
        <v>0</v>
      </c>
      <c r="H644" s="63">
        <f t="shared" si="19"/>
        <v>0</v>
      </c>
      <c r="I644" s="65"/>
    </row>
    <row r="645" spans="1:9" x14ac:dyDescent="0.3">
      <c r="A645" s="33">
        <v>45995.466539351852</v>
      </c>
      <c r="B645" s="34">
        <v>6440</v>
      </c>
      <c r="C645" s="34">
        <v>1.1988000000000001</v>
      </c>
      <c r="D645" s="34">
        <v>0</v>
      </c>
      <c r="E645" s="34">
        <v>0</v>
      </c>
      <c r="F645" s="34">
        <v>1</v>
      </c>
      <c r="G645" s="59">
        <f t="shared" si="18"/>
        <v>0</v>
      </c>
      <c r="H645" s="63">
        <f t="shared" si="19"/>
        <v>0</v>
      </c>
      <c r="I645" s="65"/>
    </row>
    <row r="646" spans="1:9" x14ac:dyDescent="0.3">
      <c r="A646" s="33">
        <v>45995.46665509259</v>
      </c>
      <c r="B646" s="34">
        <v>6450</v>
      </c>
      <c r="C646" s="34">
        <v>1.2</v>
      </c>
      <c r="D646" s="34">
        <v>0</v>
      </c>
      <c r="E646" s="34">
        <v>0</v>
      </c>
      <c r="F646" s="34">
        <v>1</v>
      </c>
      <c r="G646" s="59">
        <f t="shared" si="18"/>
        <v>0</v>
      </c>
      <c r="H646" s="63">
        <f t="shared" si="19"/>
        <v>0</v>
      </c>
      <c r="I646" s="65"/>
    </row>
    <row r="647" spans="1:9" x14ac:dyDescent="0.3">
      <c r="A647" s="33">
        <v>45995.466770833336</v>
      </c>
      <c r="B647" s="34">
        <v>6460</v>
      </c>
      <c r="C647" s="34">
        <v>1.2050000000000001</v>
      </c>
      <c r="D647" s="34">
        <v>0</v>
      </c>
      <c r="E647" s="34">
        <v>0</v>
      </c>
      <c r="F647" s="34">
        <v>1</v>
      </c>
      <c r="G647" s="59">
        <f t="shared" si="18"/>
        <v>0</v>
      </c>
      <c r="H647" s="63">
        <f t="shared" si="19"/>
        <v>0</v>
      </c>
      <c r="I647" s="65"/>
    </row>
    <row r="648" spans="1:9" x14ac:dyDescent="0.3">
      <c r="A648" s="33">
        <v>45995.466886574075</v>
      </c>
      <c r="B648" s="34">
        <v>6470</v>
      </c>
      <c r="C648" s="34">
        <v>1.2075</v>
      </c>
      <c r="D648" s="34">
        <v>0</v>
      </c>
      <c r="E648" s="34">
        <v>0</v>
      </c>
      <c r="F648" s="34">
        <v>1</v>
      </c>
      <c r="G648" s="59">
        <f t="shared" si="18"/>
        <v>0</v>
      </c>
      <c r="H648" s="63">
        <f t="shared" si="19"/>
        <v>0.28996796296296296</v>
      </c>
      <c r="I648" s="65"/>
    </row>
    <row r="649" spans="1:9" x14ac:dyDescent="0.3">
      <c r="A649" s="33">
        <v>45995.467002314814</v>
      </c>
      <c r="B649" s="34">
        <v>6480</v>
      </c>
      <c r="C649" s="34">
        <v>0.89880000000000004</v>
      </c>
      <c r="D649" s="34">
        <v>313.16539999999998</v>
      </c>
      <c r="E649" s="34">
        <v>281.86639000000002</v>
      </c>
      <c r="F649" s="34">
        <v>0</v>
      </c>
      <c r="G649" s="59">
        <f t="shared" si="18"/>
        <v>0.4349519444444444</v>
      </c>
      <c r="H649" s="63">
        <f t="shared" si="19"/>
        <v>0.57523703703703699</v>
      </c>
      <c r="I649" s="66">
        <f>(C648-C649)/(D649/1000)</f>
        <v>0.98574108123055737</v>
      </c>
    </row>
    <row r="650" spans="1:9" x14ac:dyDescent="0.3">
      <c r="A650" s="33">
        <v>45995.467118055552</v>
      </c>
      <c r="B650" s="34">
        <v>6490</v>
      </c>
      <c r="C650" s="34">
        <v>0.88119999999999998</v>
      </c>
      <c r="D650" s="34">
        <v>308.09059999999999</v>
      </c>
      <c r="E650" s="34">
        <v>271.24173000000002</v>
      </c>
      <c r="F650" s="34">
        <v>0</v>
      </c>
      <c r="G650" s="59">
        <f t="shared" ref="G650:G713" si="20">($B$2/3600)*((D650+D649)/2)</f>
        <v>0.8628555555555556</v>
      </c>
      <c r="H650" s="63">
        <f t="shared" ref="H650:H713" si="21">($B$2/3600)*(D649/3+D650/3+D651/3)</f>
        <v>0.85856175925925926</v>
      </c>
      <c r="I650" s="65"/>
    </row>
    <row r="651" spans="1:9" x14ac:dyDescent="0.3">
      <c r="A651" s="33">
        <v>45995.467233796298</v>
      </c>
      <c r="B651" s="34">
        <v>6500</v>
      </c>
      <c r="C651" s="34">
        <v>0.87749999999999995</v>
      </c>
      <c r="D651" s="34">
        <v>305.9907</v>
      </c>
      <c r="E651" s="34">
        <v>268.11682000000002</v>
      </c>
      <c r="F651" s="34">
        <v>0</v>
      </c>
      <c r="G651" s="59">
        <f t="shared" si="20"/>
        <v>0.85289069444444454</v>
      </c>
      <c r="H651" s="63">
        <f t="shared" si="21"/>
        <v>0.85069166666666662</v>
      </c>
      <c r="I651" s="65"/>
    </row>
    <row r="652" spans="1:9" x14ac:dyDescent="0.3">
      <c r="A652" s="33">
        <v>45995.467349537037</v>
      </c>
      <c r="B652" s="34">
        <v>6510</v>
      </c>
      <c r="C652" s="34">
        <v>0.87250000000000005</v>
      </c>
      <c r="D652" s="34">
        <v>304.66570000000002</v>
      </c>
      <c r="E652" s="34">
        <v>266.24187999999998</v>
      </c>
      <c r="F652" s="34">
        <v>0</v>
      </c>
      <c r="G652" s="59">
        <f t="shared" si="20"/>
        <v>0.84813388888888908</v>
      </c>
      <c r="H652" s="63">
        <f t="shared" si="21"/>
        <v>0.84666398148148159</v>
      </c>
      <c r="I652" s="65"/>
    </row>
    <row r="653" spans="1:9" x14ac:dyDescent="0.3">
      <c r="A653" s="33">
        <v>45995.467465277776</v>
      </c>
      <c r="B653" s="34">
        <v>6520</v>
      </c>
      <c r="C653" s="34">
        <v>0.87</v>
      </c>
      <c r="D653" s="34">
        <v>303.7407</v>
      </c>
      <c r="E653" s="34">
        <v>264.36694</v>
      </c>
      <c r="F653" s="34">
        <v>0</v>
      </c>
      <c r="G653" s="59">
        <f t="shared" si="20"/>
        <v>0.84500888888888903</v>
      </c>
      <c r="H653" s="63">
        <f t="shared" si="21"/>
        <v>0.8439093518518519</v>
      </c>
      <c r="I653" s="65"/>
    </row>
    <row r="654" spans="1:9" x14ac:dyDescent="0.3">
      <c r="A654" s="33">
        <v>45995.467581018522</v>
      </c>
      <c r="B654" s="34">
        <v>6530</v>
      </c>
      <c r="C654" s="34">
        <v>0.86750000000000005</v>
      </c>
      <c r="D654" s="34">
        <v>303.01569999999998</v>
      </c>
      <c r="E654" s="34">
        <v>263.11696999999998</v>
      </c>
      <c r="F654" s="34">
        <v>0</v>
      </c>
      <c r="G654" s="59">
        <f t="shared" si="20"/>
        <v>0.84271722222222223</v>
      </c>
      <c r="H654" s="63">
        <f t="shared" si="21"/>
        <v>0.84184925925925935</v>
      </c>
      <c r="I654" s="65"/>
    </row>
    <row r="655" spans="1:9" x14ac:dyDescent="0.3">
      <c r="A655" s="33">
        <v>45995.46769675926</v>
      </c>
      <c r="B655" s="34">
        <v>6540</v>
      </c>
      <c r="C655" s="34">
        <v>0.86499999999999999</v>
      </c>
      <c r="D655" s="34">
        <v>302.44080000000002</v>
      </c>
      <c r="E655" s="34">
        <v>261.24203</v>
      </c>
      <c r="F655" s="34">
        <v>0</v>
      </c>
      <c r="G655" s="59">
        <f t="shared" si="20"/>
        <v>0.84091180555555556</v>
      </c>
      <c r="H655" s="63">
        <f t="shared" si="21"/>
        <v>0.84018268518518513</v>
      </c>
      <c r="I655" s="65"/>
    </row>
    <row r="656" spans="1:9" x14ac:dyDescent="0.3">
      <c r="A656" s="33">
        <v>45995.467812499999</v>
      </c>
      <c r="B656" s="34">
        <v>6550</v>
      </c>
      <c r="C656" s="34">
        <v>0.86370000000000002</v>
      </c>
      <c r="D656" s="34">
        <v>301.94080000000002</v>
      </c>
      <c r="E656" s="34">
        <v>260.61703</v>
      </c>
      <c r="F656" s="34">
        <v>0</v>
      </c>
      <c r="G656" s="59">
        <f t="shared" si="20"/>
        <v>0.83941888888888894</v>
      </c>
      <c r="H656" s="63">
        <f t="shared" si="21"/>
        <v>0.83881703703703703</v>
      </c>
      <c r="I656" s="65"/>
    </row>
    <row r="657" spans="1:9" x14ac:dyDescent="0.3">
      <c r="A657" s="33">
        <v>45995.467928240738</v>
      </c>
      <c r="B657" s="34">
        <v>6560</v>
      </c>
      <c r="C657" s="34">
        <v>0.86250000000000004</v>
      </c>
      <c r="D657" s="34">
        <v>301.54079999999999</v>
      </c>
      <c r="E657" s="34">
        <v>259.99207000000001</v>
      </c>
      <c r="F657" s="34">
        <v>0</v>
      </c>
      <c r="G657" s="59">
        <f t="shared" si="20"/>
        <v>0.83816888888888907</v>
      </c>
      <c r="H657" s="63">
        <f t="shared" si="21"/>
        <v>0.83765962962962959</v>
      </c>
      <c r="I657" s="65"/>
    </row>
    <row r="658" spans="1:9" x14ac:dyDescent="0.3">
      <c r="A658" s="33">
        <v>45995.468043981484</v>
      </c>
      <c r="B658" s="34">
        <v>6570</v>
      </c>
      <c r="C658" s="34">
        <v>0.86119999999999997</v>
      </c>
      <c r="D658" s="34">
        <v>301.19080000000002</v>
      </c>
      <c r="E658" s="34">
        <v>259.36709999999999</v>
      </c>
      <c r="F658" s="34">
        <v>0</v>
      </c>
      <c r="G658" s="59">
        <f t="shared" si="20"/>
        <v>0.83712722222222236</v>
      </c>
      <c r="H658" s="63">
        <f t="shared" si="21"/>
        <v>0.83666425925925914</v>
      </c>
      <c r="I658" s="65"/>
    </row>
    <row r="659" spans="1:9" x14ac:dyDescent="0.3">
      <c r="A659" s="33">
        <v>45995.468159722222</v>
      </c>
      <c r="B659" s="34">
        <v>6580</v>
      </c>
      <c r="C659" s="34">
        <v>0.86</v>
      </c>
      <c r="D659" s="34">
        <v>300.86579999999998</v>
      </c>
      <c r="E659" s="34">
        <v>258.74209999999999</v>
      </c>
      <c r="F659" s="34">
        <v>0</v>
      </c>
      <c r="G659" s="59">
        <f t="shared" si="20"/>
        <v>0.83618972222222221</v>
      </c>
      <c r="H659" s="63">
        <f t="shared" si="21"/>
        <v>0.83578462962962974</v>
      </c>
      <c r="I659" s="65"/>
    </row>
    <row r="660" spans="1:9" x14ac:dyDescent="0.3">
      <c r="A660" s="33">
        <v>45995.468275462961</v>
      </c>
      <c r="B660" s="34">
        <v>6590</v>
      </c>
      <c r="C660" s="34">
        <v>0.86119999999999997</v>
      </c>
      <c r="D660" s="34">
        <v>300.5908</v>
      </c>
      <c r="E660" s="34">
        <v>258.74209999999999</v>
      </c>
      <c r="F660" s="34">
        <v>0</v>
      </c>
      <c r="G660" s="59">
        <f t="shared" si="20"/>
        <v>0.83535638888888886</v>
      </c>
      <c r="H660" s="63">
        <f t="shared" si="21"/>
        <v>0.83497444444444446</v>
      </c>
      <c r="I660" s="65"/>
    </row>
    <row r="661" spans="1:9" x14ac:dyDescent="0.3">
      <c r="A661" s="33">
        <v>45995.468391203707</v>
      </c>
      <c r="B661" s="34">
        <v>6600</v>
      </c>
      <c r="C661" s="34">
        <v>0.85750000000000004</v>
      </c>
      <c r="D661" s="34">
        <v>300.31580000000002</v>
      </c>
      <c r="E661" s="34">
        <v>257.49212999999997</v>
      </c>
      <c r="F661" s="34">
        <v>0</v>
      </c>
      <c r="G661" s="59">
        <f t="shared" si="20"/>
        <v>0.83459250000000007</v>
      </c>
      <c r="H661" s="63">
        <f t="shared" si="21"/>
        <v>0.83421055555555568</v>
      </c>
      <c r="I661" s="65"/>
    </row>
    <row r="662" spans="1:9" x14ac:dyDescent="0.3">
      <c r="A662" s="33">
        <v>45995.468506944446</v>
      </c>
      <c r="B662" s="34">
        <v>6610</v>
      </c>
      <c r="C662" s="34">
        <v>0.86</v>
      </c>
      <c r="D662" s="34">
        <v>300.04079999999999</v>
      </c>
      <c r="E662" s="34">
        <v>258.11712999999997</v>
      </c>
      <c r="F662" s="34">
        <v>0</v>
      </c>
      <c r="G662" s="59">
        <f t="shared" si="20"/>
        <v>0.83382861111111128</v>
      </c>
      <c r="H662" s="63">
        <f t="shared" si="21"/>
        <v>0.83346981481481497</v>
      </c>
      <c r="I662" s="65"/>
    </row>
    <row r="663" spans="1:9" x14ac:dyDescent="0.3">
      <c r="A663" s="33">
        <v>45995.468622685185</v>
      </c>
      <c r="B663" s="34">
        <v>6620</v>
      </c>
      <c r="C663" s="34">
        <v>0.85870000000000002</v>
      </c>
      <c r="D663" s="34">
        <v>299.79079999999999</v>
      </c>
      <c r="E663" s="34">
        <v>256.86716000000001</v>
      </c>
      <c r="F663" s="34">
        <v>0</v>
      </c>
      <c r="G663" s="59">
        <f t="shared" si="20"/>
        <v>0.8330994444444445</v>
      </c>
      <c r="H663" s="63">
        <f t="shared" si="21"/>
        <v>0.83272907407407415</v>
      </c>
      <c r="I663" s="65"/>
    </row>
    <row r="664" spans="1:9" x14ac:dyDescent="0.3">
      <c r="A664" s="33">
        <v>45995.468738425923</v>
      </c>
      <c r="B664" s="34">
        <v>6630</v>
      </c>
      <c r="C664" s="34">
        <v>0.85750000000000004</v>
      </c>
      <c r="D664" s="34">
        <v>299.51580000000001</v>
      </c>
      <c r="E664" s="34">
        <v>256.86716000000001</v>
      </c>
      <c r="F664" s="34">
        <v>0</v>
      </c>
      <c r="G664" s="59">
        <f t="shared" si="20"/>
        <v>0.83237027777777783</v>
      </c>
      <c r="H664" s="63">
        <f t="shared" si="21"/>
        <v>0.832011574074074</v>
      </c>
      <c r="I664" s="65"/>
    </row>
    <row r="665" spans="1:9" x14ac:dyDescent="0.3">
      <c r="A665" s="33">
        <v>45995.468854166669</v>
      </c>
      <c r="B665" s="34">
        <v>6640</v>
      </c>
      <c r="C665" s="34">
        <v>0.85619999999999996</v>
      </c>
      <c r="D665" s="34">
        <v>299.26589999999999</v>
      </c>
      <c r="E665" s="34">
        <v>256.24218999999999</v>
      </c>
      <c r="F665" s="34">
        <v>0</v>
      </c>
      <c r="G665" s="59">
        <f t="shared" si="20"/>
        <v>0.83164125</v>
      </c>
      <c r="H665" s="63">
        <f t="shared" si="21"/>
        <v>0.83129407407407396</v>
      </c>
      <c r="I665" s="65"/>
    </row>
    <row r="666" spans="1:9" x14ac:dyDescent="0.3">
      <c r="A666" s="33">
        <v>45995.468969907408</v>
      </c>
      <c r="B666" s="34">
        <v>6650</v>
      </c>
      <c r="C666" s="34">
        <v>0.85619999999999996</v>
      </c>
      <c r="D666" s="34">
        <v>299.01589999999999</v>
      </c>
      <c r="E666" s="34">
        <v>256.24218999999999</v>
      </c>
      <c r="F666" s="34">
        <v>0</v>
      </c>
      <c r="G666" s="59">
        <f t="shared" si="20"/>
        <v>0.83094694444444439</v>
      </c>
      <c r="H666" s="63">
        <f t="shared" si="21"/>
        <v>0.55396462962962956</v>
      </c>
      <c r="I666" s="66">
        <f>(C672-C666)/(D666/1000)</f>
        <v>1.1664931530396883</v>
      </c>
    </row>
    <row r="667" spans="1:9" x14ac:dyDescent="0.3">
      <c r="A667" s="33">
        <v>45995.469085648147</v>
      </c>
      <c r="B667" s="34">
        <v>6660</v>
      </c>
      <c r="C667" s="34">
        <v>1.17</v>
      </c>
      <c r="D667" s="34">
        <v>0</v>
      </c>
      <c r="E667" s="34">
        <v>0</v>
      </c>
      <c r="F667" s="34">
        <v>1</v>
      </c>
      <c r="G667" s="59">
        <f t="shared" si="20"/>
        <v>0.41529986111111111</v>
      </c>
      <c r="H667" s="63">
        <f t="shared" si="21"/>
        <v>0.27686657407407406</v>
      </c>
      <c r="I667" s="65"/>
    </row>
    <row r="668" spans="1:9" x14ac:dyDescent="0.3">
      <c r="A668" s="33">
        <v>45995.469201388885</v>
      </c>
      <c r="B668" s="34">
        <v>6670</v>
      </c>
      <c r="C668" s="34">
        <v>1.1875</v>
      </c>
      <c r="D668" s="34">
        <v>0</v>
      </c>
      <c r="E668" s="34">
        <v>0</v>
      </c>
      <c r="F668" s="34">
        <v>1</v>
      </c>
      <c r="G668" s="59">
        <f t="shared" si="20"/>
        <v>0</v>
      </c>
      <c r="H668" s="63">
        <f t="shared" si="21"/>
        <v>0</v>
      </c>
      <c r="I668" s="65"/>
    </row>
    <row r="669" spans="1:9" x14ac:dyDescent="0.3">
      <c r="A669" s="33">
        <v>45995.469317129631</v>
      </c>
      <c r="B669" s="34">
        <v>6680</v>
      </c>
      <c r="C669" s="34">
        <v>1.1950000000000001</v>
      </c>
      <c r="D669" s="34">
        <v>0</v>
      </c>
      <c r="E669" s="34">
        <v>0</v>
      </c>
      <c r="F669" s="34">
        <v>1</v>
      </c>
      <c r="G669" s="59">
        <f t="shared" si="20"/>
        <v>0</v>
      </c>
      <c r="H669" s="63">
        <f t="shared" si="21"/>
        <v>0</v>
      </c>
      <c r="I669" s="65"/>
    </row>
    <row r="670" spans="1:9" x14ac:dyDescent="0.3">
      <c r="A670" s="33">
        <v>45995.46943287037</v>
      </c>
      <c r="B670" s="34">
        <v>6690</v>
      </c>
      <c r="C670" s="34">
        <v>1.1961999999999999</v>
      </c>
      <c r="D670" s="34">
        <v>0</v>
      </c>
      <c r="E670" s="34">
        <v>0</v>
      </c>
      <c r="F670" s="34">
        <v>1</v>
      </c>
      <c r="G670" s="59">
        <f t="shared" si="20"/>
        <v>0</v>
      </c>
      <c r="H670" s="63">
        <f t="shared" si="21"/>
        <v>0</v>
      </c>
      <c r="I670" s="65"/>
    </row>
    <row r="671" spans="1:9" x14ac:dyDescent="0.3">
      <c r="A671" s="33">
        <v>45995.469548611109</v>
      </c>
      <c r="B671" s="34">
        <v>6700</v>
      </c>
      <c r="C671" s="34">
        <v>1.2</v>
      </c>
      <c r="D671" s="34">
        <v>0</v>
      </c>
      <c r="E671" s="34">
        <v>0</v>
      </c>
      <c r="F671" s="34">
        <v>1</v>
      </c>
      <c r="G671" s="59">
        <f t="shared" si="20"/>
        <v>0</v>
      </c>
      <c r="H671" s="63">
        <f t="shared" si="21"/>
        <v>0</v>
      </c>
      <c r="I671" s="65"/>
    </row>
    <row r="672" spans="1:9" x14ac:dyDescent="0.3">
      <c r="A672" s="33">
        <v>45995.469664351855</v>
      </c>
      <c r="B672" s="34">
        <v>6710</v>
      </c>
      <c r="C672" s="34">
        <v>1.2050000000000001</v>
      </c>
      <c r="D672" s="34">
        <v>0</v>
      </c>
      <c r="E672" s="34">
        <v>0</v>
      </c>
      <c r="F672" s="34">
        <v>1</v>
      </c>
      <c r="G672" s="59">
        <f t="shared" si="20"/>
        <v>0</v>
      </c>
      <c r="H672" s="63">
        <f t="shared" si="21"/>
        <v>0.28850972222222226</v>
      </c>
      <c r="I672" s="65"/>
    </row>
    <row r="673" spans="1:9" x14ac:dyDescent="0.3">
      <c r="A673" s="33">
        <v>45995.469780092593</v>
      </c>
      <c r="B673" s="34">
        <v>6720</v>
      </c>
      <c r="C673" s="34">
        <v>0.89370000000000005</v>
      </c>
      <c r="D673" s="34">
        <v>311.59050000000002</v>
      </c>
      <c r="E673" s="34">
        <v>278.74149</v>
      </c>
      <c r="F673" s="34">
        <v>0</v>
      </c>
      <c r="G673" s="59">
        <f t="shared" si="20"/>
        <v>0.4327645833333334</v>
      </c>
      <c r="H673" s="63">
        <f t="shared" si="21"/>
        <v>0.57183444444444442</v>
      </c>
      <c r="I673" s="66">
        <f>(C672-C673)/(D673/1000)</f>
        <v>0.9990676865950664</v>
      </c>
    </row>
    <row r="674" spans="1:9" x14ac:dyDescent="0.3">
      <c r="A674" s="33">
        <v>45995.469895833332</v>
      </c>
      <c r="B674" s="34">
        <v>6730</v>
      </c>
      <c r="C674" s="34">
        <v>0.87749999999999995</v>
      </c>
      <c r="D674" s="34">
        <v>305.9907</v>
      </c>
      <c r="E674" s="34">
        <v>268.11682000000002</v>
      </c>
      <c r="F674" s="34">
        <v>0</v>
      </c>
      <c r="G674" s="59">
        <f t="shared" si="20"/>
        <v>0.8577516666666668</v>
      </c>
      <c r="H674" s="63">
        <f t="shared" si="21"/>
        <v>0.85312212962962963</v>
      </c>
      <c r="I674" s="65"/>
    </row>
    <row r="675" spans="1:9" x14ac:dyDescent="0.3">
      <c r="A675" s="33">
        <v>45995.470011574071</v>
      </c>
      <c r="B675" s="34">
        <v>6740</v>
      </c>
      <c r="C675" s="34">
        <v>0.86870000000000003</v>
      </c>
      <c r="D675" s="34">
        <v>303.79070000000002</v>
      </c>
      <c r="E675" s="34">
        <v>264.36694</v>
      </c>
      <c r="F675" s="34">
        <v>0</v>
      </c>
      <c r="G675" s="59">
        <f t="shared" si="20"/>
        <v>0.84691861111111122</v>
      </c>
      <c r="H675" s="63">
        <f t="shared" si="21"/>
        <v>0.84460379629629634</v>
      </c>
      <c r="I675" s="65"/>
    </row>
    <row r="676" spans="1:9" x14ac:dyDescent="0.3">
      <c r="A676" s="33">
        <v>45995.470127314817</v>
      </c>
      <c r="B676" s="34">
        <v>6750</v>
      </c>
      <c r="C676" s="34">
        <v>0.86499999999999999</v>
      </c>
      <c r="D676" s="34">
        <v>302.39069999999998</v>
      </c>
      <c r="E676" s="34">
        <v>261.24203</v>
      </c>
      <c r="F676" s="34">
        <v>0</v>
      </c>
      <c r="G676" s="59">
        <f t="shared" si="20"/>
        <v>0.8419186111111111</v>
      </c>
      <c r="H676" s="63">
        <f t="shared" si="21"/>
        <v>0.84036777777777782</v>
      </c>
      <c r="I676" s="65"/>
    </row>
    <row r="677" spans="1:9" x14ac:dyDescent="0.3">
      <c r="A677" s="33">
        <v>45995.470243055555</v>
      </c>
      <c r="B677" s="34">
        <v>6760</v>
      </c>
      <c r="C677" s="34">
        <v>0.86250000000000004</v>
      </c>
      <c r="D677" s="34">
        <v>301.41579999999999</v>
      </c>
      <c r="E677" s="34">
        <v>259.99207000000001</v>
      </c>
      <c r="F677" s="34">
        <v>0</v>
      </c>
      <c r="G677" s="59">
        <f t="shared" si="20"/>
        <v>0.83862013888888876</v>
      </c>
      <c r="H677" s="63">
        <f t="shared" si="21"/>
        <v>0.83752064814814819</v>
      </c>
      <c r="I677" s="65"/>
    </row>
    <row r="678" spans="1:9" x14ac:dyDescent="0.3">
      <c r="A678" s="33">
        <v>45995.470358796294</v>
      </c>
      <c r="B678" s="34">
        <v>6770</v>
      </c>
      <c r="C678" s="34">
        <v>0.86</v>
      </c>
      <c r="D678" s="34">
        <v>300.7158</v>
      </c>
      <c r="E678" s="34">
        <v>258.74209999999999</v>
      </c>
      <c r="F678" s="34">
        <v>0</v>
      </c>
      <c r="G678" s="59">
        <f t="shared" si="20"/>
        <v>0.83629388888888878</v>
      </c>
      <c r="H678" s="63">
        <f t="shared" si="21"/>
        <v>0.83543740740740746</v>
      </c>
      <c r="I678" s="65"/>
    </row>
    <row r="679" spans="1:9" x14ac:dyDescent="0.3">
      <c r="A679" s="33">
        <v>45995.47047453704</v>
      </c>
      <c r="B679" s="34">
        <v>6780</v>
      </c>
      <c r="C679" s="34">
        <v>0.86</v>
      </c>
      <c r="D679" s="34">
        <v>300.14080000000001</v>
      </c>
      <c r="E679" s="34">
        <v>258.11712999999997</v>
      </c>
      <c r="F679" s="34">
        <v>0</v>
      </c>
      <c r="G679" s="59">
        <f t="shared" si="20"/>
        <v>0.83452305555555573</v>
      </c>
      <c r="H679" s="63">
        <f t="shared" si="21"/>
        <v>0.83379388888888895</v>
      </c>
      <c r="I679" s="65"/>
    </row>
    <row r="680" spans="1:9" x14ac:dyDescent="0.3">
      <c r="A680" s="33">
        <v>45995.470590277779</v>
      </c>
      <c r="B680" s="34">
        <v>6790</v>
      </c>
      <c r="C680" s="34">
        <v>0.85750000000000004</v>
      </c>
      <c r="D680" s="34">
        <v>299.64080000000001</v>
      </c>
      <c r="E680" s="34">
        <v>256.86716000000001</v>
      </c>
      <c r="F680" s="34">
        <v>0</v>
      </c>
      <c r="G680" s="59">
        <f t="shared" si="20"/>
        <v>0.83303000000000005</v>
      </c>
      <c r="H680" s="63">
        <f t="shared" si="21"/>
        <v>0.83242814814814825</v>
      </c>
      <c r="I680" s="65"/>
    </row>
    <row r="681" spans="1:9" x14ac:dyDescent="0.3">
      <c r="A681" s="33">
        <v>45995.470706018517</v>
      </c>
      <c r="B681" s="34">
        <v>6800</v>
      </c>
      <c r="C681" s="34">
        <v>0.85619999999999996</v>
      </c>
      <c r="D681" s="34">
        <v>299.24079999999998</v>
      </c>
      <c r="E681" s="34">
        <v>256.24218999999999</v>
      </c>
      <c r="F681" s="34">
        <v>0</v>
      </c>
      <c r="G681" s="59">
        <f t="shared" si="20"/>
        <v>0.83177999999999996</v>
      </c>
      <c r="H681" s="63">
        <f t="shared" si="21"/>
        <v>0.83124768518518521</v>
      </c>
      <c r="I681" s="65"/>
    </row>
    <row r="682" spans="1:9" x14ac:dyDescent="0.3">
      <c r="A682" s="33">
        <v>45995.470821759256</v>
      </c>
      <c r="B682" s="34">
        <v>6810</v>
      </c>
      <c r="C682" s="34">
        <v>0.85499999999999998</v>
      </c>
      <c r="D682" s="34">
        <v>298.86590000000001</v>
      </c>
      <c r="E682" s="34">
        <v>255.6172</v>
      </c>
      <c r="F682" s="34">
        <v>0</v>
      </c>
      <c r="G682" s="59">
        <f t="shared" si="20"/>
        <v>0.83070375000000007</v>
      </c>
      <c r="H682" s="63">
        <f t="shared" si="21"/>
        <v>0.83022925925925939</v>
      </c>
      <c r="I682" s="65"/>
    </row>
    <row r="683" spans="1:9" x14ac:dyDescent="0.3">
      <c r="A683" s="33">
        <v>45995.470937500002</v>
      </c>
      <c r="B683" s="34">
        <v>6820</v>
      </c>
      <c r="C683" s="34">
        <v>0.85370000000000001</v>
      </c>
      <c r="D683" s="34">
        <v>298.54090000000002</v>
      </c>
      <c r="E683" s="34">
        <v>254.99222</v>
      </c>
      <c r="F683" s="34">
        <v>0</v>
      </c>
      <c r="G683" s="59">
        <f t="shared" si="20"/>
        <v>0.82973166666666665</v>
      </c>
      <c r="H683" s="63">
        <f t="shared" si="21"/>
        <v>0.82932657407407417</v>
      </c>
      <c r="I683" s="65"/>
    </row>
    <row r="684" spans="1:9" x14ac:dyDescent="0.3">
      <c r="A684" s="33">
        <v>45995.471053240741</v>
      </c>
      <c r="B684" s="34">
        <v>6830</v>
      </c>
      <c r="C684" s="34">
        <v>0.85370000000000001</v>
      </c>
      <c r="D684" s="34">
        <v>298.26589999999999</v>
      </c>
      <c r="E684" s="34">
        <v>254.99222</v>
      </c>
      <c r="F684" s="34">
        <v>0</v>
      </c>
      <c r="G684" s="59">
        <f t="shared" si="20"/>
        <v>0.8288983333333334</v>
      </c>
      <c r="H684" s="63">
        <f t="shared" si="21"/>
        <v>0.82849324074074071</v>
      </c>
      <c r="I684" s="65"/>
    </row>
    <row r="685" spans="1:9" x14ac:dyDescent="0.3">
      <c r="A685" s="33">
        <v>45995.471168981479</v>
      </c>
      <c r="B685" s="34">
        <v>6840</v>
      </c>
      <c r="C685" s="34">
        <v>0.85250000000000004</v>
      </c>
      <c r="D685" s="34">
        <v>297.96589999999998</v>
      </c>
      <c r="E685" s="34">
        <v>253.74225000000001</v>
      </c>
      <c r="F685" s="34">
        <v>0</v>
      </c>
      <c r="G685" s="59">
        <f t="shared" si="20"/>
        <v>0.82809972222222228</v>
      </c>
      <c r="H685" s="63">
        <f t="shared" si="21"/>
        <v>0.82770620370370362</v>
      </c>
      <c r="I685" s="65"/>
    </row>
    <row r="686" spans="1:9" x14ac:dyDescent="0.3">
      <c r="A686" s="33">
        <v>45995.471284722225</v>
      </c>
      <c r="B686" s="34">
        <v>6850</v>
      </c>
      <c r="C686" s="34">
        <v>0.85119999999999996</v>
      </c>
      <c r="D686" s="34">
        <v>297.6909</v>
      </c>
      <c r="E686" s="34">
        <v>253.11727999999999</v>
      </c>
      <c r="F686" s="34">
        <v>0</v>
      </c>
      <c r="G686" s="59">
        <f t="shared" si="20"/>
        <v>0.82730111111111115</v>
      </c>
      <c r="H686" s="63">
        <f t="shared" si="21"/>
        <v>0.82689601851851846</v>
      </c>
      <c r="I686" s="65"/>
    </row>
    <row r="687" spans="1:9" x14ac:dyDescent="0.3">
      <c r="A687" s="33">
        <v>45995.471400462964</v>
      </c>
      <c r="B687" s="34">
        <v>6860</v>
      </c>
      <c r="C687" s="34">
        <v>0.85119999999999996</v>
      </c>
      <c r="D687" s="34">
        <v>297.39089999999999</v>
      </c>
      <c r="E687" s="34">
        <v>253.11727999999999</v>
      </c>
      <c r="F687" s="34">
        <v>0</v>
      </c>
      <c r="G687" s="59">
        <f t="shared" si="20"/>
        <v>0.82650249999999992</v>
      </c>
      <c r="H687" s="63">
        <f t="shared" si="21"/>
        <v>0.82610898148148149</v>
      </c>
      <c r="I687" s="65"/>
    </row>
    <row r="688" spans="1:9" x14ac:dyDescent="0.3">
      <c r="A688" s="33">
        <v>45995.471516203703</v>
      </c>
      <c r="B688" s="34">
        <v>6870</v>
      </c>
      <c r="C688" s="34">
        <v>0.84870000000000001</v>
      </c>
      <c r="D688" s="34">
        <v>297.11590000000001</v>
      </c>
      <c r="E688" s="34">
        <v>251.86731</v>
      </c>
      <c r="F688" s="34">
        <v>0</v>
      </c>
      <c r="G688" s="59">
        <f t="shared" si="20"/>
        <v>0.8257038888888889</v>
      </c>
      <c r="H688" s="63">
        <f t="shared" si="21"/>
        <v>0.8253219444444444</v>
      </c>
      <c r="I688" s="65"/>
    </row>
    <row r="689" spans="1:9" x14ac:dyDescent="0.3">
      <c r="A689" s="33">
        <v>45995.471643518518</v>
      </c>
      <c r="B689" s="34">
        <v>6880</v>
      </c>
      <c r="C689" s="34">
        <v>0.84870000000000001</v>
      </c>
      <c r="D689" s="34">
        <v>296.84089999999998</v>
      </c>
      <c r="E689" s="34">
        <v>251.86731</v>
      </c>
      <c r="F689" s="34">
        <v>0</v>
      </c>
      <c r="G689" s="59">
        <f t="shared" si="20"/>
        <v>0.8249399999999999</v>
      </c>
      <c r="H689" s="63">
        <f t="shared" si="21"/>
        <v>0.82458120370370369</v>
      </c>
      <c r="I689" s="65"/>
    </row>
    <row r="690" spans="1:9" x14ac:dyDescent="0.3">
      <c r="A690" s="33">
        <v>45995.471759259257</v>
      </c>
      <c r="B690" s="34">
        <v>6890</v>
      </c>
      <c r="C690" s="34">
        <v>0.84870000000000001</v>
      </c>
      <c r="D690" s="34">
        <v>296.59089999999998</v>
      </c>
      <c r="E690" s="34">
        <v>251.86731</v>
      </c>
      <c r="F690" s="34">
        <v>0</v>
      </c>
      <c r="G690" s="59">
        <f t="shared" si="20"/>
        <v>0.82421083333333334</v>
      </c>
      <c r="H690" s="63">
        <f t="shared" si="21"/>
        <v>0.54947388888888882</v>
      </c>
      <c r="I690" s="66">
        <f>(C696-C690)/(D690/1000)</f>
        <v>1.1844598064202239</v>
      </c>
    </row>
    <row r="691" spans="1:9" x14ac:dyDescent="0.3">
      <c r="A691" s="33">
        <v>45995.471875000003</v>
      </c>
      <c r="B691" s="34">
        <v>6900</v>
      </c>
      <c r="C691" s="34">
        <v>1.1637</v>
      </c>
      <c r="D691" s="34">
        <v>0</v>
      </c>
      <c r="E691" s="34">
        <v>0</v>
      </c>
      <c r="F691" s="34">
        <v>1</v>
      </c>
      <c r="G691" s="59">
        <f t="shared" si="20"/>
        <v>0.41193180555555553</v>
      </c>
      <c r="H691" s="63">
        <f t="shared" si="21"/>
        <v>0.27462120370370369</v>
      </c>
      <c r="I691" s="65"/>
    </row>
    <row r="692" spans="1:9" x14ac:dyDescent="0.3">
      <c r="A692" s="33">
        <v>45995.471990740742</v>
      </c>
      <c r="B692" s="34">
        <v>6910</v>
      </c>
      <c r="C692" s="34">
        <v>1.1850000000000001</v>
      </c>
      <c r="D692" s="34">
        <v>0</v>
      </c>
      <c r="E692" s="34">
        <v>0</v>
      </c>
      <c r="F692" s="34">
        <v>1</v>
      </c>
      <c r="G692" s="59">
        <f t="shared" si="20"/>
        <v>0</v>
      </c>
      <c r="H692" s="63">
        <f t="shared" si="21"/>
        <v>0</v>
      </c>
      <c r="I692" s="65"/>
    </row>
    <row r="693" spans="1:9" x14ac:dyDescent="0.3">
      <c r="A693" s="33">
        <v>45995.47210648148</v>
      </c>
      <c r="B693" s="34">
        <v>6920</v>
      </c>
      <c r="C693" s="34">
        <v>1.19</v>
      </c>
      <c r="D693" s="34">
        <v>0</v>
      </c>
      <c r="E693" s="34">
        <v>0</v>
      </c>
      <c r="F693" s="34">
        <v>1</v>
      </c>
      <c r="G693" s="59">
        <f t="shared" si="20"/>
        <v>0</v>
      </c>
      <c r="H693" s="63">
        <f t="shared" si="21"/>
        <v>0</v>
      </c>
      <c r="I693" s="65"/>
    </row>
    <row r="694" spans="1:9" x14ac:dyDescent="0.3">
      <c r="A694" s="33">
        <v>45995.472222222219</v>
      </c>
      <c r="B694" s="34">
        <v>6930</v>
      </c>
      <c r="C694" s="34">
        <v>1.1961999999999999</v>
      </c>
      <c r="D694" s="34">
        <v>0</v>
      </c>
      <c r="E694" s="34">
        <v>0</v>
      </c>
      <c r="F694" s="34">
        <v>1</v>
      </c>
      <c r="G694" s="59">
        <f t="shared" si="20"/>
        <v>0</v>
      </c>
      <c r="H694" s="63">
        <f t="shared" si="21"/>
        <v>0</v>
      </c>
      <c r="I694" s="65"/>
    </row>
    <row r="695" spans="1:9" x14ac:dyDescent="0.3">
      <c r="A695" s="33">
        <v>45995.472337962965</v>
      </c>
      <c r="B695" s="34">
        <v>6940</v>
      </c>
      <c r="C695" s="34">
        <v>1.2</v>
      </c>
      <c r="D695" s="34">
        <v>0</v>
      </c>
      <c r="E695" s="34">
        <v>0</v>
      </c>
      <c r="F695" s="34">
        <v>1</v>
      </c>
      <c r="G695" s="59">
        <f t="shared" si="20"/>
        <v>0</v>
      </c>
      <c r="H695" s="63">
        <f t="shared" si="21"/>
        <v>0</v>
      </c>
      <c r="I695" s="65"/>
    </row>
    <row r="696" spans="1:9" x14ac:dyDescent="0.3">
      <c r="A696" s="33">
        <v>45995.472453703704</v>
      </c>
      <c r="B696" s="34">
        <v>6950</v>
      </c>
      <c r="C696" s="34">
        <v>1.2</v>
      </c>
      <c r="D696" s="34">
        <v>0</v>
      </c>
      <c r="E696" s="34">
        <v>0</v>
      </c>
      <c r="F696" s="34">
        <v>1</v>
      </c>
      <c r="G696" s="59">
        <f t="shared" si="20"/>
        <v>0</v>
      </c>
      <c r="H696" s="63">
        <f t="shared" si="21"/>
        <v>0.28684305555555561</v>
      </c>
      <c r="I696" s="65"/>
    </row>
    <row r="697" spans="1:9" x14ac:dyDescent="0.3">
      <c r="A697" s="33">
        <v>45995.472569444442</v>
      </c>
      <c r="B697" s="34">
        <v>6960</v>
      </c>
      <c r="C697" s="34">
        <v>0.88870000000000005</v>
      </c>
      <c r="D697" s="34">
        <v>309.79050000000001</v>
      </c>
      <c r="E697" s="34">
        <v>274.99160999999998</v>
      </c>
      <c r="F697" s="34">
        <v>0</v>
      </c>
      <c r="G697" s="59">
        <f t="shared" si="20"/>
        <v>0.43026458333333334</v>
      </c>
      <c r="H697" s="63">
        <f t="shared" si="21"/>
        <v>0.56817703703703715</v>
      </c>
      <c r="I697" s="66">
        <f>(C696-C697)/(D697/1000)</f>
        <v>1.0048726478055328</v>
      </c>
    </row>
    <row r="698" spans="1:9" x14ac:dyDescent="0.3">
      <c r="A698" s="33">
        <v>45995.472685185188</v>
      </c>
      <c r="B698" s="34">
        <v>6970</v>
      </c>
      <c r="C698" s="34">
        <v>0.87</v>
      </c>
      <c r="D698" s="34">
        <v>303.84070000000003</v>
      </c>
      <c r="E698" s="34">
        <v>264.36694</v>
      </c>
      <c r="F698" s="34">
        <v>0</v>
      </c>
      <c r="G698" s="59">
        <f t="shared" si="20"/>
        <v>0.85226555555555561</v>
      </c>
      <c r="H698" s="63">
        <f t="shared" si="21"/>
        <v>0.84728888888888909</v>
      </c>
      <c r="I698" s="65"/>
    </row>
    <row r="699" spans="1:9" x14ac:dyDescent="0.3">
      <c r="A699" s="33">
        <v>45995.472800925927</v>
      </c>
      <c r="B699" s="34">
        <v>6980</v>
      </c>
      <c r="C699" s="34">
        <v>0.86250000000000004</v>
      </c>
      <c r="D699" s="34">
        <v>301.44080000000002</v>
      </c>
      <c r="E699" s="34">
        <v>259.99207000000001</v>
      </c>
      <c r="F699" s="34">
        <v>0</v>
      </c>
      <c r="G699" s="59">
        <f t="shared" si="20"/>
        <v>0.84066875000000008</v>
      </c>
      <c r="H699" s="63">
        <f t="shared" si="21"/>
        <v>0.83823824074074094</v>
      </c>
      <c r="I699" s="65"/>
    </row>
    <row r="700" spans="1:9" x14ac:dyDescent="0.3">
      <c r="A700" s="33">
        <v>45995.472916666666</v>
      </c>
      <c r="B700" s="34">
        <v>6990</v>
      </c>
      <c r="C700" s="34">
        <v>0.86</v>
      </c>
      <c r="D700" s="34">
        <v>300.01580000000001</v>
      </c>
      <c r="E700" s="34">
        <v>258.11712999999997</v>
      </c>
      <c r="F700" s="34">
        <v>0</v>
      </c>
      <c r="G700" s="59">
        <f t="shared" si="20"/>
        <v>0.83535638888888886</v>
      </c>
      <c r="H700" s="63">
        <f t="shared" si="21"/>
        <v>0.83379398148148154</v>
      </c>
      <c r="I700" s="65"/>
    </row>
    <row r="701" spans="1:9" x14ac:dyDescent="0.3">
      <c r="A701" s="33">
        <v>45995.473032407404</v>
      </c>
      <c r="B701" s="34">
        <v>7000</v>
      </c>
      <c r="C701" s="34">
        <v>0.85619999999999996</v>
      </c>
      <c r="D701" s="34">
        <v>299.04090000000002</v>
      </c>
      <c r="E701" s="34">
        <v>256.24218999999999</v>
      </c>
      <c r="F701" s="34">
        <v>0</v>
      </c>
      <c r="G701" s="59">
        <f t="shared" si="20"/>
        <v>0.83202319444444461</v>
      </c>
      <c r="H701" s="63">
        <f t="shared" si="21"/>
        <v>0.83087740740740734</v>
      </c>
      <c r="I701" s="65"/>
    </row>
    <row r="702" spans="1:9" x14ac:dyDescent="0.3">
      <c r="A702" s="33">
        <v>45995.47314814815</v>
      </c>
      <c r="B702" s="34">
        <v>7010</v>
      </c>
      <c r="C702" s="34">
        <v>0.85370000000000001</v>
      </c>
      <c r="D702" s="34">
        <v>298.29090000000002</v>
      </c>
      <c r="E702" s="34">
        <v>254.36723000000001</v>
      </c>
      <c r="F702" s="34">
        <v>0</v>
      </c>
      <c r="G702" s="59">
        <f t="shared" si="20"/>
        <v>0.82962750000000007</v>
      </c>
      <c r="H702" s="63">
        <f t="shared" si="21"/>
        <v>0.82874787037037045</v>
      </c>
      <c r="I702" s="65"/>
    </row>
    <row r="703" spans="1:9" x14ac:dyDescent="0.3">
      <c r="A703" s="33">
        <v>45995.473263888889</v>
      </c>
      <c r="B703" s="34">
        <v>7020</v>
      </c>
      <c r="C703" s="34">
        <v>0.85119999999999996</v>
      </c>
      <c r="D703" s="34">
        <v>297.71589999999998</v>
      </c>
      <c r="E703" s="34">
        <v>253.11727999999999</v>
      </c>
      <c r="F703" s="34">
        <v>0</v>
      </c>
      <c r="G703" s="59">
        <f t="shared" si="20"/>
        <v>0.82778722222222223</v>
      </c>
      <c r="H703" s="63">
        <f t="shared" si="21"/>
        <v>0.82705805555555545</v>
      </c>
      <c r="I703" s="65"/>
    </row>
    <row r="704" spans="1:9" x14ac:dyDescent="0.3">
      <c r="A704" s="33">
        <v>45995.473379629628</v>
      </c>
      <c r="B704" s="34">
        <v>7030</v>
      </c>
      <c r="C704" s="34">
        <v>0.85</v>
      </c>
      <c r="D704" s="34">
        <v>297.21589999999998</v>
      </c>
      <c r="E704" s="34">
        <v>253.11727999999999</v>
      </c>
      <c r="F704" s="34">
        <v>0</v>
      </c>
      <c r="G704" s="59">
        <f t="shared" si="20"/>
        <v>0.82629416666666666</v>
      </c>
      <c r="H704" s="63">
        <f t="shared" si="21"/>
        <v>0.82569231481481464</v>
      </c>
      <c r="I704" s="65"/>
    </row>
    <row r="705" spans="1:9" x14ac:dyDescent="0.3">
      <c r="A705" s="33">
        <v>45995.473495370374</v>
      </c>
      <c r="B705" s="34">
        <v>7040</v>
      </c>
      <c r="C705" s="34">
        <v>0.84870000000000001</v>
      </c>
      <c r="D705" s="34">
        <v>296.8159</v>
      </c>
      <c r="E705" s="34">
        <v>251.86731</v>
      </c>
      <c r="F705" s="34">
        <v>0</v>
      </c>
      <c r="G705" s="59">
        <f t="shared" si="20"/>
        <v>0.82504416666666669</v>
      </c>
      <c r="H705" s="63">
        <f t="shared" si="21"/>
        <v>0.82451175925925924</v>
      </c>
      <c r="I705" s="65"/>
    </row>
    <row r="706" spans="1:9" x14ac:dyDescent="0.3">
      <c r="A706" s="33">
        <v>45995.473611111112</v>
      </c>
      <c r="B706" s="34">
        <v>7050</v>
      </c>
      <c r="C706" s="34">
        <v>0.84750000000000003</v>
      </c>
      <c r="D706" s="34">
        <v>296.4409</v>
      </c>
      <c r="E706" s="34">
        <v>250.61735999999999</v>
      </c>
      <c r="F706" s="34">
        <v>0</v>
      </c>
      <c r="G706" s="59">
        <f t="shared" si="20"/>
        <v>0.82396777777777785</v>
      </c>
      <c r="H706" s="63">
        <f t="shared" si="21"/>
        <v>0.82347009259259263</v>
      </c>
      <c r="I706" s="65"/>
    </row>
    <row r="707" spans="1:9" x14ac:dyDescent="0.3">
      <c r="A707" s="33">
        <v>45995.473726851851</v>
      </c>
      <c r="B707" s="34">
        <v>7060</v>
      </c>
      <c r="C707" s="34">
        <v>0.84619999999999995</v>
      </c>
      <c r="D707" s="34">
        <v>296.09089999999998</v>
      </c>
      <c r="E707" s="34">
        <v>250.61735999999999</v>
      </c>
      <c r="F707" s="34">
        <v>0</v>
      </c>
      <c r="G707" s="59">
        <f t="shared" si="20"/>
        <v>0.82296083333333336</v>
      </c>
      <c r="H707" s="63">
        <f t="shared" si="21"/>
        <v>0.82249796296296296</v>
      </c>
      <c r="I707" s="65"/>
    </row>
    <row r="708" spans="1:9" x14ac:dyDescent="0.3">
      <c r="A708" s="33">
        <v>45995.47384259259</v>
      </c>
      <c r="B708" s="34">
        <v>7070</v>
      </c>
      <c r="C708" s="34">
        <v>0.84499999999999997</v>
      </c>
      <c r="D708" s="34">
        <v>295.76600000000002</v>
      </c>
      <c r="E708" s="34">
        <v>249.99236999999999</v>
      </c>
      <c r="F708" s="34">
        <v>0</v>
      </c>
      <c r="G708" s="59">
        <f t="shared" si="20"/>
        <v>0.82202347222222227</v>
      </c>
      <c r="H708" s="63">
        <f t="shared" si="21"/>
        <v>0.82159527777777774</v>
      </c>
      <c r="I708" s="65"/>
    </row>
    <row r="709" spans="1:9" x14ac:dyDescent="0.3">
      <c r="A709" s="33">
        <v>45995.473958333336</v>
      </c>
      <c r="B709" s="34">
        <v>7080</v>
      </c>
      <c r="C709" s="34">
        <v>0.84379999999999999</v>
      </c>
      <c r="D709" s="34">
        <v>295.46600000000001</v>
      </c>
      <c r="E709" s="34">
        <v>249.36739</v>
      </c>
      <c r="F709" s="34">
        <v>0</v>
      </c>
      <c r="G709" s="59">
        <f t="shared" si="20"/>
        <v>0.82115555555555553</v>
      </c>
      <c r="H709" s="63">
        <f t="shared" si="21"/>
        <v>0.8207620370370371</v>
      </c>
      <c r="I709" s="65"/>
    </row>
    <row r="710" spans="1:9" x14ac:dyDescent="0.3">
      <c r="A710" s="33">
        <v>45995.474074074074</v>
      </c>
      <c r="B710" s="34">
        <v>7090</v>
      </c>
      <c r="C710" s="34">
        <v>0.84379999999999999</v>
      </c>
      <c r="D710" s="34">
        <v>295.19099999999997</v>
      </c>
      <c r="E710" s="34">
        <v>248.7424</v>
      </c>
      <c r="F710" s="34">
        <v>0</v>
      </c>
      <c r="G710" s="59">
        <f t="shared" si="20"/>
        <v>0.8203569444444444</v>
      </c>
      <c r="H710" s="63">
        <f t="shared" si="21"/>
        <v>0.81997500000000012</v>
      </c>
      <c r="I710" s="65"/>
    </row>
    <row r="711" spans="1:9" x14ac:dyDescent="0.3">
      <c r="A711" s="33">
        <v>45995.474189814813</v>
      </c>
      <c r="B711" s="34">
        <v>7100</v>
      </c>
      <c r="C711" s="34">
        <v>0.84250000000000003</v>
      </c>
      <c r="D711" s="34">
        <v>294.916</v>
      </c>
      <c r="E711" s="34">
        <v>248.11743000000001</v>
      </c>
      <c r="F711" s="34">
        <v>0</v>
      </c>
      <c r="G711" s="59">
        <f t="shared" si="20"/>
        <v>0.81959305555555551</v>
      </c>
      <c r="H711" s="63">
        <f t="shared" si="21"/>
        <v>0.81921111111111111</v>
      </c>
      <c r="I711" s="65"/>
    </row>
    <row r="712" spans="1:9" x14ac:dyDescent="0.3">
      <c r="A712" s="33">
        <v>45995.474305555559</v>
      </c>
      <c r="B712" s="34">
        <v>7110</v>
      </c>
      <c r="C712" s="34">
        <v>0.84130000000000005</v>
      </c>
      <c r="D712" s="34">
        <v>294.64100000000002</v>
      </c>
      <c r="E712" s="34">
        <v>247.49244999999999</v>
      </c>
      <c r="F712" s="34">
        <v>0</v>
      </c>
      <c r="G712" s="59">
        <f t="shared" si="20"/>
        <v>0.81882916666666672</v>
      </c>
      <c r="H712" s="63">
        <f t="shared" si="21"/>
        <v>0.81844722222222233</v>
      </c>
      <c r="I712" s="65"/>
    </row>
    <row r="713" spans="1:9" x14ac:dyDescent="0.3">
      <c r="A713" s="33">
        <v>45995.474421296298</v>
      </c>
      <c r="B713" s="34">
        <v>7120</v>
      </c>
      <c r="C713" s="34">
        <v>0.84</v>
      </c>
      <c r="D713" s="34">
        <v>294.36599999999999</v>
      </c>
      <c r="E713" s="34">
        <v>246.86745999999999</v>
      </c>
      <c r="F713" s="34">
        <v>0</v>
      </c>
      <c r="G713" s="59">
        <f t="shared" si="20"/>
        <v>0.81806527777777793</v>
      </c>
      <c r="H713" s="63">
        <f t="shared" si="21"/>
        <v>0.81770648148148151</v>
      </c>
      <c r="I713" s="65"/>
    </row>
    <row r="714" spans="1:9" x14ac:dyDescent="0.3">
      <c r="A714" s="33">
        <v>45995.474537037036</v>
      </c>
      <c r="B714" s="34">
        <v>7130</v>
      </c>
      <c r="C714" s="34">
        <v>0.84</v>
      </c>
      <c r="D714" s="34">
        <v>294.11599999999999</v>
      </c>
      <c r="E714" s="34">
        <v>246.86745999999999</v>
      </c>
      <c r="F714" s="34">
        <v>0</v>
      </c>
      <c r="G714" s="59">
        <f t="shared" ref="G714:G777" si="22">($B$2/3600)*((D714+D713)/2)</f>
        <v>0.81733611111111115</v>
      </c>
      <c r="H714" s="63">
        <f t="shared" ref="H714:H777" si="23">($B$2/3600)*(D713/3+D714/3+D715/3)</f>
        <v>0.54489074074074073</v>
      </c>
      <c r="I714" s="66">
        <f>(C720-C714)/(D714/1000)</f>
        <v>1.2240068544383849</v>
      </c>
    </row>
    <row r="715" spans="1:9" x14ac:dyDescent="0.3">
      <c r="A715" s="33">
        <v>45995.474652777775</v>
      </c>
      <c r="B715" s="34">
        <v>7140</v>
      </c>
      <c r="C715" s="34">
        <v>1.1575</v>
      </c>
      <c r="D715" s="34">
        <v>0</v>
      </c>
      <c r="E715" s="34">
        <v>0</v>
      </c>
      <c r="F715" s="34">
        <v>1</v>
      </c>
      <c r="G715" s="59">
        <f t="shared" si="22"/>
        <v>0.40849444444444444</v>
      </c>
      <c r="H715" s="63">
        <f t="shared" si="23"/>
        <v>0.27232962962962959</v>
      </c>
      <c r="I715" s="65"/>
    </row>
    <row r="716" spans="1:9" x14ac:dyDescent="0.3">
      <c r="A716" s="33">
        <v>45995.474768518521</v>
      </c>
      <c r="B716" s="34">
        <v>7150</v>
      </c>
      <c r="C716" s="34">
        <v>1.1787000000000001</v>
      </c>
      <c r="D716" s="34">
        <v>0</v>
      </c>
      <c r="E716" s="34">
        <v>0</v>
      </c>
      <c r="F716" s="34">
        <v>1</v>
      </c>
      <c r="G716" s="59">
        <f t="shared" si="22"/>
        <v>0</v>
      </c>
      <c r="H716" s="63">
        <f t="shared" si="23"/>
        <v>0</v>
      </c>
      <c r="I716" s="65"/>
    </row>
    <row r="717" spans="1:9" x14ac:dyDescent="0.3">
      <c r="A717" s="33">
        <v>45995.47488425926</v>
      </c>
      <c r="B717" s="34">
        <v>7160</v>
      </c>
      <c r="C717" s="34">
        <v>1.1875</v>
      </c>
      <c r="D717" s="34">
        <v>0</v>
      </c>
      <c r="E717" s="34">
        <v>0</v>
      </c>
      <c r="F717" s="34">
        <v>1</v>
      </c>
      <c r="G717" s="59">
        <f t="shared" si="22"/>
        <v>0</v>
      </c>
      <c r="H717" s="63">
        <f t="shared" si="23"/>
        <v>0</v>
      </c>
      <c r="I717" s="65"/>
    </row>
    <row r="718" spans="1:9" x14ac:dyDescent="0.3">
      <c r="A718" s="33">
        <v>45995.474999999999</v>
      </c>
      <c r="B718" s="34">
        <v>7170</v>
      </c>
      <c r="C718" s="34">
        <v>1.1924999999999999</v>
      </c>
      <c r="D718" s="34">
        <v>0</v>
      </c>
      <c r="E718" s="34">
        <v>0</v>
      </c>
      <c r="F718" s="34">
        <v>1</v>
      </c>
      <c r="G718" s="59">
        <f t="shared" si="22"/>
        <v>0</v>
      </c>
      <c r="H718" s="63">
        <f t="shared" si="23"/>
        <v>0</v>
      </c>
      <c r="I718" s="65"/>
    </row>
    <row r="719" spans="1:9" x14ac:dyDescent="0.3">
      <c r="A719" s="33">
        <v>45995.475115740737</v>
      </c>
      <c r="B719" s="34">
        <v>7180</v>
      </c>
      <c r="C719" s="34">
        <v>1.1961999999999999</v>
      </c>
      <c r="D719" s="34">
        <v>0</v>
      </c>
      <c r="E719" s="34">
        <v>0</v>
      </c>
      <c r="F719" s="34">
        <v>1</v>
      </c>
      <c r="G719" s="59">
        <f t="shared" si="22"/>
        <v>0</v>
      </c>
      <c r="H719" s="63">
        <f t="shared" si="23"/>
        <v>0</v>
      </c>
      <c r="I719" s="65"/>
    </row>
    <row r="720" spans="1:9" x14ac:dyDescent="0.3">
      <c r="A720" s="33">
        <v>45995.475231481483</v>
      </c>
      <c r="B720" s="34">
        <v>7190</v>
      </c>
      <c r="C720" s="34">
        <v>1.2</v>
      </c>
      <c r="D720" s="34">
        <v>0</v>
      </c>
      <c r="E720" s="34">
        <v>0</v>
      </c>
      <c r="F720" s="34">
        <v>1</v>
      </c>
      <c r="G720" s="59">
        <f t="shared" si="22"/>
        <v>0</v>
      </c>
      <c r="H720" s="63">
        <f t="shared" si="23"/>
        <v>0.28524592592592596</v>
      </c>
      <c r="I720" s="65"/>
    </row>
    <row r="721" spans="1:9" x14ac:dyDescent="0.3">
      <c r="A721" s="33">
        <v>45995.475347222222</v>
      </c>
      <c r="B721" s="34">
        <v>7200</v>
      </c>
      <c r="C721" s="34">
        <v>0.88119999999999998</v>
      </c>
      <c r="D721" s="34">
        <v>308.06560000000002</v>
      </c>
      <c r="E721" s="34">
        <v>271.24173000000002</v>
      </c>
      <c r="F721" s="34">
        <v>0</v>
      </c>
      <c r="G721" s="59">
        <f t="shared" si="22"/>
        <v>0.42786888888888891</v>
      </c>
      <c r="H721" s="63">
        <f t="shared" si="23"/>
        <v>0.56456611111111121</v>
      </c>
      <c r="I721" s="66">
        <f>(C720-C721)/(D721/1000)</f>
        <v>1.0348445266203041</v>
      </c>
    </row>
    <row r="722" spans="1:9" x14ac:dyDescent="0.3">
      <c r="A722" s="33">
        <v>45995.475462962961</v>
      </c>
      <c r="B722" s="34">
        <v>7210</v>
      </c>
      <c r="C722" s="34">
        <v>0.86370000000000002</v>
      </c>
      <c r="D722" s="34">
        <v>301.66579999999999</v>
      </c>
      <c r="E722" s="34">
        <v>259.99207000000001</v>
      </c>
      <c r="F722" s="34">
        <v>0</v>
      </c>
      <c r="G722" s="59">
        <f t="shared" si="22"/>
        <v>0.84684916666666676</v>
      </c>
      <c r="H722" s="63">
        <f t="shared" si="23"/>
        <v>0.84157157407407424</v>
      </c>
      <c r="I722" s="65"/>
    </row>
    <row r="723" spans="1:9" x14ac:dyDescent="0.3">
      <c r="A723" s="33">
        <v>45995.475578703707</v>
      </c>
      <c r="B723" s="34">
        <v>7220</v>
      </c>
      <c r="C723" s="34">
        <v>0.85619999999999996</v>
      </c>
      <c r="D723" s="34">
        <v>299.16590000000002</v>
      </c>
      <c r="E723" s="34">
        <v>256.24218999999999</v>
      </c>
      <c r="F723" s="34">
        <v>0</v>
      </c>
      <c r="G723" s="59">
        <f t="shared" si="22"/>
        <v>0.83448847222222222</v>
      </c>
      <c r="H723" s="63">
        <f t="shared" si="23"/>
        <v>0.83196537037037044</v>
      </c>
      <c r="I723" s="65"/>
    </row>
    <row r="724" spans="1:9" x14ac:dyDescent="0.3">
      <c r="A724" s="33">
        <v>45995.475694444445</v>
      </c>
      <c r="B724" s="34">
        <v>7230</v>
      </c>
      <c r="C724" s="34">
        <v>0.85119999999999996</v>
      </c>
      <c r="D724" s="34">
        <v>297.6909</v>
      </c>
      <c r="E724" s="34">
        <v>253.11727999999999</v>
      </c>
      <c r="F724" s="34">
        <v>0</v>
      </c>
      <c r="G724" s="59">
        <f t="shared" si="22"/>
        <v>0.82896777777777786</v>
      </c>
      <c r="H724" s="63">
        <f t="shared" si="23"/>
        <v>0.82735898148148157</v>
      </c>
      <c r="I724" s="65"/>
    </row>
    <row r="725" spans="1:9" x14ac:dyDescent="0.3">
      <c r="A725" s="33">
        <v>45995.475810185184</v>
      </c>
      <c r="B725" s="34">
        <v>7240</v>
      </c>
      <c r="C725" s="34">
        <v>0.84870000000000001</v>
      </c>
      <c r="D725" s="34">
        <v>296.6909</v>
      </c>
      <c r="E725" s="34">
        <v>251.86731</v>
      </c>
      <c r="F725" s="34">
        <v>0</v>
      </c>
      <c r="G725" s="59">
        <f t="shared" si="22"/>
        <v>0.82553027777777777</v>
      </c>
      <c r="H725" s="63">
        <f t="shared" si="23"/>
        <v>0.82434981481481484</v>
      </c>
      <c r="I725" s="65"/>
    </row>
    <row r="726" spans="1:9" x14ac:dyDescent="0.3">
      <c r="A726" s="33">
        <v>45995.475925925923</v>
      </c>
      <c r="B726" s="34">
        <v>7250</v>
      </c>
      <c r="C726" s="34">
        <v>0.84499999999999997</v>
      </c>
      <c r="D726" s="34">
        <v>295.916</v>
      </c>
      <c r="E726" s="34">
        <v>249.99236999999999</v>
      </c>
      <c r="F726" s="34">
        <v>0</v>
      </c>
      <c r="G726" s="59">
        <f t="shared" si="22"/>
        <v>0.82306513888888888</v>
      </c>
      <c r="H726" s="63">
        <f t="shared" si="23"/>
        <v>0.82210453703703723</v>
      </c>
      <c r="I726" s="65"/>
    </row>
    <row r="727" spans="1:9" x14ac:dyDescent="0.3">
      <c r="A727" s="33">
        <v>45995.476041666669</v>
      </c>
      <c r="B727" s="34">
        <v>7260</v>
      </c>
      <c r="C727" s="34">
        <v>0.84379999999999999</v>
      </c>
      <c r="D727" s="34">
        <v>295.26600000000002</v>
      </c>
      <c r="E727" s="34">
        <v>248.7424</v>
      </c>
      <c r="F727" s="34">
        <v>0</v>
      </c>
      <c r="G727" s="59">
        <f t="shared" si="22"/>
        <v>0.82108611111111118</v>
      </c>
      <c r="H727" s="63">
        <f t="shared" si="23"/>
        <v>0.82029907407407421</v>
      </c>
      <c r="I727" s="65"/>
    </row>
    <row r="728" spans="1:9" x14ac:dyDescent="0.3">
      <c r="A728" s="33">
        <v>45995.476157407407</v>
      </c>
      <c r="B728" s="34">
        <v>7270</v>
      </c>
      <c r="C728" s="34">
        <v>0.84130000000000005</v>
      </c>
      <c r="D728" s="34">
        <v>294.74099999999999</v>
      </c>
      <c r="E728" s="34">
        <v>247.49244999999999</v>
      </c>
      <c r="F728" s="34">
        <v>0</v>
      </c>
      <c r="G728" s="59">
        <f t="shared" si="22"/>
        <v>0.81945416666666682</v>
      </c>
      <c r="H728" s="63">
        <f t="shared" si="23"/>
        <v>0.81881759259259268</v>
      </c>
      <c r="I728" s="65"/>
    </row>
    <row r="729" spans="1:9" x14ac:dyDescent="0.3">
      <c r="A729" s="33">
        <v>45995.476273148146</v>
      </c>
      <c r="B729" s="34">
        <v>7280</v>
      </c>
      <c r="C729" s="34">
        <v>0.84</v>
      </c>
      <c r="D729" s="34">
        <v>294.31599999999997</v>
      </c>
      <c r="E729" s="34">
        <v>246.86745999999999</v>
      </c>
      <c r="F729" s="34">
        <v>0</v>
      </c>
      <c r="G729" s="59">
        <f t="shared" si="22"/>
        <v>0.81813472222222228</v>
      </c>
      <c r="H729" s="63">
        <f t="shared" si="23"/>
        <v>0.81759074074074067</v>
      </c>
      <c r="I729" s="65"/>
    </row>
    <row r="730" spans="1:9" x14ac:dyDescent="0.3">
      <c r="A730" s="33">
        <v>45995.476388888892</v>
      </c>
      <c r="B730" s="34">
        <v>7290</v>
      </c>
      <c r="C730" s="34">
        <v>0.84130000000000005</v>
      </c>
      <c r="D730" s="34">
        <v>293.94099999999997</v>
      </c>
      <c r="E730" s="34">
        <v>246.86745999999999</v>
      </c>
      <c r="F730" s="34">
        <v>0</v>
      </c>
      <c r="G730" s="59">
        <f t="shared" si="22"/>
        <v>0.8170236111111111</v>
      </c>
      <c r="H730" s="63">
        <f t="shared" si="23"/>
        <v>0.81652592592592588</v>
      </c>
      <c r="I730" s="65"/>
    </row>
    <row r="731" spans="1:9" x14ac:dyDescent="0.3">
      <c r="A731" s="33">
        <v>45995.476504629631</v>
      </c>
      <c r="B731" s="34">
        <v>7300</v>
      </c>
      <c r="C731" s="34">
        <v>0.83750000000000002</v>
      </c>
      <c r="D731" s="34">
        <v>293.59100000000001</v>
      </c>
      <c r="E731" s="34">
        <v>245.61751000000001</v>
      </c>
      <c r="F731" s="34">
        <v>0</v>
      </c>
      <c r="G731" s="59">
        <f t="shared" si="22"/>
        <v>0.81601666666666661</v>
      </c>
      <c r="H731" s="63">
        <f t="shared" si="23"/>
        <v>0.81553055555555565</v>
      </c>
      <c r="I731" s="65"/>
    </row>
    <row r="732" spans="1:9" x14ac:dyDescent="0.3">
      <c r="A732" s="33">
        <v>45995.476620370369</v>
      </c>
      <c r="B732" s="34">
        <v>7310</v>
      </c>
      <c r="C732" s="34">
        <v>0.83879999999999999</v>
      </c>
      <c r="D732" s="34">
        <v>293.24099999999999</v>
      </c>
      <c r="E732" s="34">
        <v>246.24249</v>
      </c>
      <c r="F732" s="34">
        <v>0</v>
      </c>
      <c r="G732" s="59">
        <f t="shared" si="22"/>
        <v>0.81504444444444446</v>
      </c>
      <c r="H732" s="63">
        <f t="shared" si="23"/>
        <v>0.81460462962962954</v>
      </c>
      <c r="I732" s="65"/>
    </row>
    <row r="733" spans="1:9" x14ac:dyDescent="0.3">
      <c r="A733" s="33">
        <v>45995.476736111108</v>
      </c>
      <c r="B733" s="34">
        <v>7320</v>
      </c>
      <c r="C733" s="34">
        <v>0.83879999999999999</v>
      </c>
      <c r="D733" s="34">
        <v>292.94099999999997</v>
      </c>
      <c r="E733" s="34">
        <v>245.61751000000001</v>
      </c>
      <c r="F733" s="34">
        <v>0</v>
      </c>
      <c r="G733" s="59">
        <f t="shared" si="22"/>
        <v>0.81414166666666676</v>
      </c>
      <c r="H733" s="63">
        <f t="shared" si="23"/>
        <v>0.81374814814814822</v>
      </c>
      <c r="I733" s="65"/>
    </row>
    <row r="734" spans="1:9" x14ac:dyDescent="0.3">
      <c r="A734" s="33">
        <v>45995.476851851854</v>
      </c>
      <c r="B734" s="34">
        <v>7330</v>
      </c>
      <c r="C734" s="34">
        <v>0.83630000000000004</v>
      </c>
      <c r="D734" s="34">
        <v>292.666</v>
      </c>
      <c r="E734" s="34">
        <v>244.99252000000001</v>
      </c>
      <c r="F734" s="34">
        <v>0</v>
      </c>
      <c r="G734" s="59">
        <f t="shared" si="22"/>
        <v>0.81334305555555553</v>
      </c>
      <c r="H734" s="63">
        <f t="shared" si="23"/>
        <v>0.81296120370370384</v>
      </c>
      <c r="I734" s="65"/>
    </row>
    <row r="735" spans="1:9" x14ac:dyDescent="0.3">
      <c r="A735" s="33">
        <v>45995.476967592593</v>
      </c>
      <c r="B735" s="34">
        <v>7340</v>
      </c>
      <c r="C735" s="34">
        <v>0.83630000000000004</v>
      </c>
      <c r="D735" s="34">
        <v>292.39109999999999</v>
      </c>
      <c r="E735" s="34">
        <v>244.36753999999999</v>
      </c>
      <c r="F735" s="34">
        <v>0</v>
      </c>
      <c r="G735" s="59">
        <f t="shared" si="22"/>
        <v>0.81257930555555558</v>
      </c>
      <c r="H735" s="63">
        <f t="shared" si="23"/>
        <v>0.81219740740740753</v>
      </c>
      <c r="I735" s="65"/>
    </row>
    <row r="736" spans="1:9" x14ac:dyDescent="0.3">
      <c r="A736" s="33">
        <v>45995.477083333331</v>
      </c>
      <c r="B736" s="34">
        <v>7350</v>
      </c>
      <c r="C736" s="34">
        <v>0.83499999999999996</v>
      </c>
      <c r="D736" s="34">
        <v>292.11610000000002</v>
      </c>
      <c r="E736" s="34">
        <v>243.74254999999999</v>
      </c>
      <c r="F736" s="34">
        <v>0</v>
      </c>
      <c r="G736" s="59">
        <f t="shared" si="22"/>
        <v>0.81181555555555562</v>
      </c>
      <c r="H736" s="63">
        <f t="shared" si="23"/>
        <v>0.81141046296296304</v>
      </c>
      <c r="I736" s="65"/>
    </row>
    <row r="737" spans="1:9" x14ac:dyDescent="0.3">
      <c r="A737" s="33">
        <v>45995.477199074077</v>
      </c>
      <c r="B737" s="34">
        <v>7360</v>
      </c>
      <c r="C737" s="34">
        <v>0.83379999999999999</v>
      </c>
      <c r="D737" s="34">
        <v>291.81610000000001</v>
      </c>
      <c r="E737" s="34">
        <v>243.74254999999999</v>
      </c>
      <c r="F737" s="34">
        <v>0</v>
      </c>
      <c r="G737" s="59">
        <f t="shared" si="22"/>
        <v>0.81101694444444439</v>
      </c>
      <c r="H737" s="63">
        <f t="shared" si="23"/>
        <v>0.81064657407407403</v>
      </c>
      <c r="I737" s="65"/>
    </row>
    <row r="738" spans="1:9" x14ac:dyDescent="0.3">
      <c r="A738" s="33">
        <v>45995.477314814816</v>
      </c>
      <c r="B738" s="34">
        <v>7370</v>
      </c>
      <c r="C738" s="34">
        <v>0.83379999999999999</v>
      </c>
      <c r="D738" s="34">
        <v>291.56610000000001</v>
      </c>
      <c r="E738" s="34">
        <v>243.11758</v>
      </c>
      <c r="F738" s="34">
        <v>0</v>
      </c>
      <c r="G738" s="59">
        <f t="shared" si="22"/>
        <v>0.8102530555555556</v>
      </c>
      <c r="H738" s="63">
        <f t="shared" si="23"/>
        <v>0.54016870370370373</v>
      </c>
      <c r="I738" s="66">
        <f>(C744-C738)/(D738/1000)</f>
        <v>1.2429428524097965</v>
      </c>
    </row>
    <row r="739" spans="1:9" x14ac:dyDescent="0.3">
      <c r="A739" s="33">
        <v>45995.477430555555</v>
      </c>
      <c r="B739" s="34">
        <v>7380</v>
      </c>
      <c r="C739" s="34">
        <v>1.1525000000000001</v>
      </c>
      <c r="D739" s="34">
        <v>0</v>
      </c>
      <c r="E739" s="34">
        <v>0</v>
      </c>
      <c r="F739" s="34">
        <v>1</v>
      </c>
      <c r="G739" s="59">
        <f t="shared" si="22"/>
        <v>0.40495291666666672</v>
      </c>
      <c r="H739" s="63">
        <f t="shared" si="23"/>
        <v>0.26996861111111109</v>
      </c>
      <c r="I739" s="65"/>
    </row>
    <row r="740" spans="1:9" x14ac:dyDescent="0.3">
      <c r="A740" s="33">
        <v>45995.477546296293</v>
      </c>
      <c r="B740" s="34">
        <v>7390</v>
      </c>
      <c r="C740" s="34">
        <v>1.175</v>
      </c>
      <c r="D740" s="34">
        <v>0</v>
      </c>
      <c r="E740" s="34">
        <v>0</v>
      </c>
      <c r="F740" s="34">
        <v>1</v>
      </c>
      <c r="G740" s="59">
        <f t="shared" si="22"/>
        <v>0</v>
      </c>
      <c r="H740" s="63">
        <f t="shared" si="23"/>
        <v>0</v>
      </c>
      <c r="I740" s="65"/>
    </row>
    <row r="741" spans="1:9" x14ac:dyDescent="0.3">
      <c r="A741" s="33">
        <v>45995.477662037039</v>
      </c>
      <c r="B741" s="34">
        <v>7400</v>
      </c>
      <c r="C741" s="34">
        <v>1.1825000000000001</v>
      </c>
      <c r="D741" s="34">
        <v>0</v>
      </c>
      <c r="E741" s="34">
        <v>0</v>
      </c>
      <c r="F741" s="34">
        <v>1</v>
      </c>
      <c r="G741" s="59">
        <f t="shared" si="22"/>
        <v>0</v>
      </c>
      <c r="H741" s="63">
        <f t="shared" si="23"/>
        <v>0</v>
      </c>
      <c r="I741" s="65"/>
    </row>
    <row r="742" spans="1:9" x14ac:dyDescent="0.3">
      <c r="A742" s="33">
        <v>45995.477777777778</v>
      </c>
      <c r="B742" s="34">
        <v>7410</v>
      </c>
      <c r="C742" s="34">
        <v>1.1888000000000001</v>
      </c>
      <c r="D742" s="34">
        <v>0</v>
      </c>
      <c r="E742" s="34">
        <v>0</v>
      </c>
      <c r="F742" s="34">
        <v>1</v>
      </c>
      <c r="G742" s="59">
        <f t="shared" si="22"/>
        <v>0</v>
      </c>
      <c r="H742" s="63">
        <f t="shared" si="23"/>
        <v>0</v>
      </c>
      <c r="I742" s="65"/>
    </row>
    <row r="743" spans="1:9" x14ac:dyDescent="0.3">
      <c r="A743" s="33">
        <v>45995.477893518517</v>
      </c>
      <c r="B743" s="34">
        <v>7420</v>
      </c>
      <c r="C743" s="34">
        <v>1.1924999999999999</v>
      </c>
      <c r="D743" s="34">
        <v>0</v>
      </c>
      <c r="E743" s="34">
        <v>0</v>
      </c>
      <c r="F743" s="34">
        <v>1</v>
      </c>
      <c r="G743" s="59">
        <f t="shared" si="22"/>
        <v>0</v>
      </c>
      <c r="H743" s="63">
        <f t="shared" si="23"/>
        <v>0</v>
      </c>
      <c r="I743" s="65"/>
    </row>
    <row r="744" spans="1:9" x14ac:dyDescent="0.3">
      <c r="A744" s="33">
        <v>45995.478009259263</v>
      </c>
      <c r="B744" s="34">
        <v>7430</v>
      </c>
      <c r="C744" s="34">
        <v>1.1961999999999999</v>
      </c>
      <c r="D744" s="34">
        <v>0</v>
      </c>
      <c r="E744" s="34">
        <v>0</v>
      </c>
      <c r="F744" s="34">
        <v>1</v>
      </c>
      <c r="G744" s="59">
        <f t="shared" si="22"/>
        <v>0</v>
      </c>
      <c r="H744" s="63">
        <f t="shared" si="23"/>
        <v>0.28371814814814816</v>
      </c>
      <c r="I744" s="65"/>
    </row>
    <row r="745" spans="1:9" x14ac:dyDescent="0.3">
      <c r="A745" s="33">
        <v>45995.478125000001</v>
      </c>
      <c r="B745" s="34">
        <v>7440</v>
      </c>
      <c r="C745" s="34">
        <v>0.88</v>
      </c>
      <c r="D745" s="34">
        <v>306.41559999999998</v>
      </c>
      <c r="E745" s="34">
        <v>269.36678999999998</v>
      </c>
      <c r="F745" s="34">
        <v>0</v>
      </c>
      <c r="G745" s="59">
        <f t="shared" si="22"/>
        <v>0.42557722222222222</v>
      </c>
      <c r="H745" s="63">
        <f t="shared" si="23"/>
        <v>0.56097824074074065</v>
      </c>
      <c r="I745" s="66">
        <f>(C744-C745)/(D745/1000)</f>
        <v>1.0319317945953141</v>
      </c>
    </row>
    <row r="746" spans="1:9" x14ac:dyDescent="0.3">
      <c r="A746" s="33">
        <v>45995.47824074074</v>
      </c>
      <c r="B746" s="34">
        <v>7450</v>
      </c>
      <c r="C746" s="34">
        <v>0.81620000000000004</v>
      </c>
      <c r="D746" s="34">
        <v>299.4409</v>
      </c>
      <c r="E746" s="34">
        <v>244.36753999999999</v>
      </c>
      <c r="F746" s="34">
        <v>0</v>
      </c>
      <c r="G746" s="59">
        <f t="shared" si="22"/>
        <v>0.84146736111111109</v>
      </c>
      <c r="H746" s="63">
        <f t="shared" si="23"/>
        <v>0.83578462962962952</v>
      </c>
      <c r="I746" s="65"/>
    </row>
    <row r="747" spans="1:9" x14ac:dyDescent="0.3">
      <c r="A747" s="33">
        <v>45995.478356481479</v>
      </c>
      <c r="B747" s="34">
        <v>7460</v>
      </c>
      <c r="C747" s="34">
        <v>0.80249999999999999</v>
      </c>
      <c r="D747" s="34">
        <v>296.79090000000002</v>
      </c>
      <c r="E747" s="34">
        <v>238.11774</v>
      </c>
      <c r="F747" s="34">
        <v>0</v>
      </c>
      <c r="G747" s="59">
        <f t="shared" si="22"/>
        <v>0.82809972222222228</v>
      </c>
      <c r="H747" s="63">
        <f t="shared" si="23"/>
        <v>0.82541462962962964</v>
      </c>
      <c r="I747" s="65"/>
    </row>
    <row r="748" spans="1:9" x14ac:dyDescent="0.3">
      <c r="A748" s="33">
        <v>45995.478472222225</v>
      </c>
      <c r="B748" s="34">
        <v>7470</v>
      </c>
      <c r="C748" s="34">
        <v>0.8</v>
      </c>
      <c r="D748" s="34">
        <v>295.21600000000001</v>
      </c>
      <c r="E748" s="34">
        <v>236.24279999999999</v>
      </c>
      <c r="F748" s="34">
        <v>0</v>
      </c>
      <c r="G748" s="59">
        <f t="shared" si="22"/>
        <v>0.82223180555555575</v>
      </c>
      <c r="H748" s="63">
        <f t="shared" si="23"/>
        <v>0.82048416666666668</v>
      </c>
      <c r="I748" s="65"/>
    </row>
    <row r="749" spans="1:9" x14ac:dyDescent="0.3">
      <c r="A749" s="33">
        <v>45995.478587962964</v>
      </c>
      <c r="B749" s="34">
        <v>7480</v>
      </c>
      <c r="C749" s="34">
        <v>0.79620000000000002</v>
      </c>
      <c r="D749" s="34">
        <v>294.11599999999999</v>
      </c>
      <c r="E749" s="34">
        <v>234.36784</v>
      </c>
      <c r="F749" s="34">
        <v>0</v>
      </c>
      <c r="G749" s="59">
        <f t="shared" si="22"/>
        <v>0.81851666666666667</v>
      </c>
      <c r="H749" s="63">
        <f t="shared" si="23"/>
        <v>0.81728981481481489</v>
      </c>
      <c r="I749" s="65"/>
    </row>
    <row r="750" spans="1:9" x14ac:dyDescent="0.3">
      <c r="A750" s="33">
        <v>45995.478703703702</v>
      </c>
      <c r="B750" s="34">
        <v>7490</v>
      </c>
      <c r="C750" s="34">
        <v>0.79120000000000001</v>
      </c>
      <c r="D750" s="34">
        <v>293.34100000000001</v>
      </c>
      <c r="E750" s="34">
        <v>231.86792</v>
      </c>
      <c r="F750" s="34">
        <v>0</v>
      </c>
      <c r="G750" s="59">
        <f t="shared" si="22"/>
        <v>0.81591250000000004</v>
      </c>
      <c r="H750" s="63">
        <f t="shared" si="23"/>
        <v>0.81495194444444452</v>
      </c>
      <c r="I750" s="65"/>
    </row>
    <row r="751" spans="1:9" x14ac:dyDescent="0.3">
      <c r="A751" s="33">
        <v>45995.478819444441</v>
      </c>
      <c r="B751" s="34">
        <v>7500</v>
      </c>
      <c r="C751" s="34">
        <v>0.79869999999999997</v>
      </c>
      <c r="D751" s="34">
        <v>292.69110000000001</v>
      </c>
      <c r="E751" s="34">
        <v>233.74286000000001</v>
      </c>
      <c r="F751" s="34">
        <v>0</v>
      </c>
      <c r="G751" s="59">
        <f t="shared" si="22"/>
        <v>0.81393347222222223</v>
      </c>
      <c r="H751" s="63">
        <f t="shared" si="23"/>
        <v>0.8131464814814815</v>
      </c>
      <c r="I751" s="65"/>
    </row>
    <row r="752" spans="1:9" x14ac:dyDescent="0.3">
      <c r="A752" s="33">
        <v>45995.478935185187</v>
      </c>
      <c r="B752" s="34">
        <v>7510</v>
      </c>
      <c r="C752" s="34">
        <v>0.77129999999999999</v>
      </c>
      <c r="D752" s="34">
        <v>292.16609999999997</v>
      </c>
      <c r="E752" s="34">
        <v>224.99313000000001</v>
      </c>
      <c r="F752" s="34">
        <v>0</v>
      </c>
      <c r="G752" s="59">
        <f t="shared" si="22"/>
        <v>0.81230166666666659</v>
      </c>
      <c r="H752" s="63">
        <f t="shared" si="23"/>
        <v>0.81166509259259267</v>
      </c>
      <c r="I752" s="65"/>
    </row>
    <row r="753" spans="1:9" x14ac:dyDescent="0.3">
      <c r="A753" s="33">
        <v>45995.479050925926</v>
      </c>
      <c r="B753" s="34">
        <v>7520</v>
      </c>
      <c r="C753" s="34">
        <v>0.76749999999999996</v>
      </c>
      <c r="D753" s="34">
        <v>291.74110000000002</v>
      </c>
      <c r="E753" s="34">
        <v>223.74315999999999</v>
      </c>
      <c r="F753" s="34">
        <v>0</v>
      </c>
      <c r="G753" s="59">
        <f t="shared" si="22"/>
        <v>0.81098222222222227</v>
      </c>
      <c r="H753" s="63">
        <f t="shared" si="23"/>
        <v>0.8103919444444444</v>
      </c>
      <c r="I753" s="65"/>
    </row>
    <row r="754" spans="1:9" x14ac:dyDescent="0.3">
      <c r="A754" s="33">
        <v>45995.479166666664</v>
      </c>
      <c r="B754" s="34">
        <v>7530</v>
      </c>
      <c r="C754" s="34">
        <v>0.76619999999999999</v>
      </c>
      <c r="D754" s="34">
        <v>291.31610000000001</v>
      </c>
      <c r="E754" s="34">
        <v>223.11819</v>
      </c>
      <c r="F754" s="34">
        <v>0</v>
      </c>
      <c r="G754" s="59">
        <f t="shared" si="22"/>
        <v>0.80980166666666664</v>
      </c>
      <c r="H754" s="63">
        <f t="shared" si="23"/>
        <v>0.80923453703703707</v>
      </c>
      <c r="I754" s="65"/>
    </row>
    <row r="755" spans="1:9" x14ac:dyDescent="0.3">
      <c r="A755" s="33">
        <v>45995.47928240741</v>
      </c>
      <c r="B755" s="34">
        <v>7540</v>
      </c>
      <c r="C755" s="34">
        <v>0.76619999999999999</v>
      </c>
      <c r="D755" s="34">
        <v>290.91609999999997</v>
      </c>
      <c r="E755" s="34">
        <v>223.11819</v>
      </c>
      <c r="F755" s="34">
        <v>0</v>
      </c>
      <c r="G755" s="59">
        <f t="shared" si="22"/>
        <v>0.80865583333333324</v>
      </c>
      <c r="H755" s="63">
        <f t="shared" si="23"/>
        <v>0.80816972222222228</v>
      </c>
      <c r="I755" s="65"/>
    </row>
    <row r="756" spans="1:9" x14ac:dyDescent="0.3">
      <c r="A756" s="33">
        <v>45995.479398148149</v>
      </c>
      <c r="B756" s="34">
        <v>7550</v>
      </c>
      <c r="C756" s="34">
        <v>0.76500000000000001</v>
      </c>
      <c r="D756" s="34">
        <v>290.59109999999998</v>
      </c>
      <c r="E756" s="34">
        <v>221.86823000000001</v>
      </c>
      <c r="F756" s="34">
        <v>0</v>
      </c>
      <c r="G756" s="59">
        <f t="shared" si="22"/>
        <v>0.80764888888888897</v>
      </c>
      <c r="H756" s="63">
        <f t="shared" si="23"/>
        <v>0.80719750000000001</v>
      </c>
      <c r="I756" s="65"/>
    </row>
    <row r="757" spans="1:9" x14ac:dyDescent="0.3">
      <c r="A757" s="33">
        <v>45995.479513888888</v>
      </c>
      <c r="B757" s="34">
        <v>7560</v>
      </c>
      <c r="C757" s="34">
        <v>0.75370000000000004</v>
      </c>
      <c r="D757" s="34">
        <v>290.26609999999999</v>
      </c>
      <c r="E757" s="34">
        <v>218.74332000000001</v>
      </c>
      <c r="F757" s="34">
        <v>0</v>
      </c>
      <c r="G757" s="59">
        <f t="shared" si="22"/>
        <v>0.80674611111111105</v>
      </c>
      <c r="H757" s="63">
        <f t="shared" si="23"/>
        <v>0.80631787037037039</v>
      </c>
      <c r="I757" s="65"/>
    </row>
    <row r="758" spans="1:9" x14ac:dyDescent="0.3">
      <c r="A758" s="33">
        <v>45995.479629629626</v>
      </c>
      <c r="B758" s="34">
        <v>7570</v>
      </c>
      <c r="C758" s="34">
        <v>0.75749999999999995</v>
      </c>
      <c r="D758" s="34">
        <v>289.96609999999998</v>
      </c>
      <c r="E758" s="34">
        <v>219.99329</v>
      </c>
      <c r="F758" s="34">
        <v>0</v>
      </c>
      <c r="G758" s="59">
        <f t="shared" si="22"/>
        <v>0.80587805555555547</v>
      </c>
      <c r="H758" s="63">
        <f t="shared" si="23"/>
        <v>0.80543824074074077</v>
      </c>
      <c r="I758" s="65"/>
    </row>
    <row r="759" spans="1:9" x14ac:dyDescent="0.3">
      <c r="A759" s="33">
        <v>45995.479745370372</v>
      </c>
      <c r="B759" s="34">
        <v>7580</v>
      </c>
      <c r="C759" s="34">
        <v>0.75119999999999998</v>
      </c>
      <c r="D759" s="34">
        <v>289.64109999999999</v>
      </c>
      <c r="E759" s="34">
        <v>217.49336</v>
      </c>
      <c r="F759" s="34">
        <v>0</v>
      </c>
      <c r="G759" s="59">
        <f t="shared" si="22"/>
        <v>0.80500999999999989</v>
      </c>
      <c r="H759" s="63">
        <f t="shared" si="23"/>
        <v>0.80458185185185194</v>
      </c>
      <c r="I759" s="65"/>
    </row>
    <row r="760" spans="1:9" x14ac:dyDescent="0.3">
      <c r="A760" s="33">
        <v>45995.479861111111</v>
      </c>
      <c r="B760" s="34">
        <v>7590</v>
      </c>
      <c r="C760" s="34">
        <v>0.75</v>
      </c>
      <c r="D760" s="34">
        <v>289.34120000000001</v>
      </c>
      <c r="E760" s="34">
        <v>216.86838</v>
      </c>
      <c r="F760" s="34">
        <v>0</v>
      </c>
      <c r="G760" s="59">
        <f t="shared" si="22"/>
        <v>0.80414208333333337</v>
      </c>
      <c r="H760" s="63">
        <f t="shared" si="23"/>
        <v>0.80372546296296299</v>
      </c>
      <c r="I760" s="65"/>
    </row>
    <row r="761" spans="1:9" x14ac:dyDescent="0.3">
      <c r="A761" s="33">
        <v>45995.47997685185</v>
      </c>
      <c r="B761" s="34">
        <v>7600</v>
      </c>
      <c r="C761" s="34">
        <v>0.745</v>
      </c>
      <c r="D761" s="34">
        <v>289.0412</v>
      </c>
      <c r="E761" s="34">
        <v>214.99343999999999</v>
      </c>
      <c r="F761" s="34">
        <v>0</v>
      </c>
      <c r="G761" s="59">
        <f t="shared" si="22"/>
        <v>0.80330888888888885</v>
      </c>
      <c r="H761" s="63">
        <f t="shared" si="23"/>
        <v>0.80291537037037042</v>
      </c>
      <c r="I761" s="65"/>
    </row>
    <row r="762" spans="1:9" x14ac:dyDescent="0.3">
      <c r="A762" s="33">
        <v>45995.480092592596</v>
      </c>
      <c r="B762" s="34">
        <v>7610</v>
      </c>
      <c r="C762" s="34">
        <v>0.75370000000000004</v>
      </c>
      <c r="D762" s="34">
        <v>288.76620000000003</v>
      </c>
      <c r="E762" s="34">
        <v>217.49336</v>
      </c>
      <c r="F762" s="34">
        <v>0</v>
      </c>
      <c r="G762" s="59">
        <f t="shared" si="22"/>
        <v>0.80251027777777784</v>
      </c>
      <c r="H762" s="63">
        <f t="shared" si="23"/>
        <v>0.53503000000000001</v>
      </c>
      <c r="I762" s="66">
        <f>(C768-C762)/(D762/1000)</f>
        <v>1.3031303525135554</v>
      </c>
    </row>
    <row r="763" spans="1:9" x14ac:dyDescent="0.3">
      <c r="A763" s="33">
        <v>45995.480208333334</v>
      </c>
      <c r="B763" s="34">
        <v>7620</v>
      </c>
      <c r="C763" s="34">
        <v>1.0838000000000001</v>
      </c>
      <c r="D763" s="34">
        <v>2.5000000000000001E-2</v>
      </c>
      <c r="E763" s="34">
        <v>0</v>
      </c>
      <c r="F763" s="34">
        <v>1</v>
      </c>
      <c r="G763" s="59">
        <f t="shared" si="22"/>
        <v>0.40109888888888889</v>
      </c>
      <c r="H763" s="63">
        <f t="shared" si="23"/>
        <v>0.26742240740740747</v>
      </c>
      <c r="I763" s="65"/>
    </row>
    <row r="764" spans="1:9" x14ac:dyDescent="0.3">
      <c r="A764" s="33">
        <v>45995.480324074073</v>
      </c>
      <c r="B764" s="34">
        <v>7630</v>
      </c>
      <c r="C764" s="34">
        <v>1.105</v>
      </c>
      <c r="D764" s="34">
        <v>2.5000000000000001E-2</v>
      </c>
      <c r="E764" s="34">
        <v>0</v>
      </c>
      <c r="F764" s="34">
        <v>1</v>
      </c>
      <c r="G764" s="59">
        <f t="shared" si="22"/>
        <v>6.9444444444444444E-5</v>
      </c>
      <c r="H764" s="63">
        <f t="shared" si="23"/>
        <v>6.9444444444444444E-5</v>
      </c>
      <c r="I764" s="65"/>
    </row>
    <row r="765" spans="1:9" x14ac:dyDescent="0.3">
      <c r="A765" s="33">
        <v>45995.480439814812</v>
      </c>
      <c r="B765" s="34">
        <v>7640</v>
      </c>
      <c r="C765" s="34">
        <v>1.1125</v>
      </c>
      <c r="D765" s="34">
        <v>2.5000000000000001E-2</v>
      </c>
      <c r="E765" s="34">
        <v>0</v>
      </c>
      <c r="F765" s="34">
        <v>1</v>
      </c>
      <c r="G765" s="59">
        <f t="shared" si="22"/>
        <v>6.9444444444444444E-5</v>
      </c>
      <c r="H765" s="63">
        <f t="shared" si="23"/>
        <v>6.9444444444444444E-5</v>
      </c>
      <c r="I765" s="65"/>
    </row>
    <row r="766" spans="1:9" x14ac:dyDescent="0.3">
      <c r="A766" s="33">
        <v>45995.480555555558</v>
      </c>
      <c r="B766" s="34">
        <v>7650</v>
      </c>
      <c r="C766" s="34">
        <v>1.1187</v>
      </c>
      <c r="D766" s="34">
        <v>2.5000000000000001E-2</v>
      </c>
      <c r="E766" s="34">
        <v>0</v>
      </c>
      <c r="F766" s="34">
        <v>1</v>
      </c>
      <c r="G766" s="59">
        <f t="shared" si="22"/>
        <v>6.9444444444444444E-5</v>
      </c>
      <c r="H766" s="63">
        <f t="shared" si="23"/>
        <v>6.9444444444444444E-5</v>
      </c>
      <c r="I766" s="65"/>
    </row>
    <row r="767" spans="1:9" x14ac:dyDescent="0.3">
      <c r="A767" s="33">
        <v>45995.480671296296</v>
      </c>
      <c r="B767" s="34">
        <v>7660</v>
      </c>
      <c r="C767" s="34">
        <v>1.1213</v>
      </c>
      <c r="D767" s="34">
        <v>2.5000000000000001E-2</v>
      </c>
      <c r="E767" s="34">
        <v>0</v>
      </c>
      <c r="F767" s="34">
        <v>1</v>
      </c>
      <c r="G767" s="59">
        <f t="shared" si="22"/>
        <v>6.9444444444444444E-5</v>
      </c>
      <c r="H767" s="63">
        <f t="shared" si="23"/>
        <v>6.9444444444444444E-5</v>
      </c>
      <c r="I767" s="65"/>
    </row>
    <row r="768" spans="1:9" x14ac:dyDescent="0.3">
      <c r="A768" s="33">
        <v>45995.480787037035</v>
      </c>
      <c r="B768" s="34">
        <v>7670</v>
      </c>
      <c r="C768" s="34">
        <v>1.1299999999999999</v>
      </c>
      <c r="D768" s="34">
        <v>2.5000000000000001E-2</v>
      </c>
      <c r="E768" s="34">
        <v>0</v>
      </c>
      <c r="F768" s="34">
        <v>1</v>
      </c>
      <c r="G768" s="59">
        <f t="shared" si="22"/>
        <v>6.9444444444444444E-5</v>
      </c>
      <c r="H768" s="63">
        <f t="shared" si="23"/>
        <v>0.28207472222222224</v>
      </c>
      <c r="I768" s="65"/>
    </row>
    <row r="769" spans="1:9" x14ac:dyDescent="0.3">
      <c r="A769" s="33">
        <v>45995.480902777781</v>
      </c>
      <c r="B769" s="34">
        <v>7680</v>
      </c>
      <c r="C769" s="34">
        <v>0.86750000000000005</v>
      </c>
      <c r="D769" s="34">
        <v>304.59070000000003</v>
      </c>
      <c r="E769" s="34">
        <v>264.36694</v>
      </c>
      <c r="F769" s="34">
        <v>0</v>
      </c>
      <c r="G769" s="59">
        <f t="shared" si="22"/>
        <v>0.42307736111111111</v>
      </c>
      <c r="H769" s="63">
        <f t="shared" si="23"/>
        <v>0.55718203703703706</v>
      </c>
      <c r="I769" s="66">
        <f>(C768-C769)/(D769/1000)</f>
        <v>0.8618122615037157</v>
      </c>
    </row>
    <row r="770" spans="1:9" x14ac:dyDescent="0.3">
      <c r="A770" s="33">
        <v>45995.48101851852</v>
      </c>
      <c r="B770" s="34">
        <v>7690</v>
      </c>
      <c r="C770" s="34">
        <v>0.84499999999999997</v>
      </c>
      <c r="D770" s="34">
        <v>297.14089999999999</v>
      </c>
      <c r="E770" s="34">
        <v>250.61735999999999</v>
      </c>
      <c r="F770" s="34">
        <v>0</v>
      </c>
      <c r="G770" s="59">
        <f t="shared" si="22"/>
        <v>0.83573833333333347</v>
      </c>
      <c r="H770" s="63">
        <f t="shared" si="23"/>
        <v>0.82967370370370364</v>
      </c>
      <c r="I770" s="65"/>
    </row>
    <row r="771" spans="1:9" x14ac:dyDescent="0.3">
      <c r="A771" s="33">
        <v>45995.481134259258</v>
      </c>
      <c r="B771" s="34">
        <v>7700</v>
      </c>
      <c r="C771" s="34">
        <v>0.83879999999999999</v>
      </c>
      <c r="D771" s="34">
        <v>294.31599999999997</v>
      </c>
      <c r="E771" s="34">
        <v>246.86745999999999</v>
      </c>
      <c r="F771" s="34">
        <v>0</v>
      </c>
      <c r="G771" s="59">
        <f t="shared" si="22"/>
        <v>0.82146791666666652</v>
      </c>
      <c r="H771" s="63">
        <f t="shared" si="23"/>
        <v>0.8186323148148148</v>
      </c>
      <c r="I771" s="65"/>
    </row>
    <row r="772" spans="1:9" x14ac:dyDescent="0.3">
      <c r="A772" s="33">
        <v>45995.481249999997</v>
      </c>
      <c r="B772" s="34">
        <v>7710</v>
      </c>
      <c r="C772" s="34">
        <v>0.83120000000000005</v>
      </c>
      <c r="D772" s="34">
        <v>292.666</v>
      </c>
      <c r="E772" s="34">
        <v>243.74254999999999</v>
      </c>
      <c r="F772" s="34">
        <v>0</v>
      </c>
      <c r="G772" s="59">
        <f t="shared" si="22"/>
        <v>0.81525277777777772</v>
      </c>
      <c r="H772" s="63">
        <f t="shared" si="23"/>
        <v>0.81347046296296288</v>
      </c>
      <c r="I772" s="65"/>
    </row>
    <row r="773" spans="1:9" x14ac:dyDescent="0.3">
      <c r="A773" s="33">
        <v>45995.481365740743</v>
      </c>
      <c r="B773" s="34">
        <v>7720</v>
      </c>
      <c r="C773" s="34">
        <v>0.82750000000000001</v>
      </c>
      <c r="D773" s="34">
        <v>291.56610000000001</v>
      </c>
      <c r="E773" s="34">
        <v>241.86761000000001</v>
      </c>
      <c r="F773" s="34">
        <v>0</v>
      </c>
      <c r="G773" s="59">
        <f t="shared" si="22"/>
        <v>0.81143347222222217</v>
      </c>
      <c r="H773" s="63">
        <f t="shared" si="23"/>
        <v>0.81018351851851855</v>
      </c>
      <c r="I773" s="65"/>
    </row>
    <row r="774" spans="1:9" x14ac:dyDescent="0.3">
      <c r="A774" s="33">
        <v>45995.481481481482</v>
      </c>
      <c r="B774" s="34">
        <v>7730</v>
      </c>
      <c r="C774" s="34">
        <v>0.82499999999999996</v>
      </c>
      <c r="D774" s="34">
        <v>290.76609999999999</v>
      </c>
      <c r="E774" s="34">
        <v>239.99268000000001</v>
      </c>
      <c r="F774" s="34">
        <v>0</v>
      </c>
      <c r="G774" s="59">
        <f t="shared" si="22"/>
        <v>0.80879472222222237</v>
      </c>
      <c r="H774" s="63">
        <f t="shared" si="23"/>
        <v>0.8078225</v>
      </c>
      <c r="I774" s="65"/>
    </row>
    <row r="775" spans="1:9" x14ac:dyDescent="0.3">
      <c r="A775" s="33">
        <v>45995.48159722222</v>
      </c>
      <c r="B775" s="34">
        <v>7740</v>
      </c>
      <c r="C775" s="34">
        <v>0.82369999999999999</v>
      </c>
      <c r="D775" s="34">
        <v>290.11610000000002</v>
      </c>
      <c r="E775" s="34">
        <v>238.74270999999999</v>
      </c>
      <c r="F775" s="34">
        <v>0</v>
      </c>
      <c r="G775" s="59">
        <f t="shared" si="22"/>
        <v>0.80678083333333339</v>
      </c>
      <c r="H775" s="63">
        <f t="shared" si="23"/>
        <v>0.8059938888888889</v>
      </c>
      <c r="I775" s="65"/>
    </row>
    <row r="776" spans="1:9" x14ac:dyDescent="0.3">
      <c r="A776" s="33">
        <v>45995.481712962966</v>
      </c>
      <c r="B776" s="34">
        <v>7750</v>
      </c>
      <c r="C776" s="34">
        <v>0.82</v>
      </c>
      <c r="D776" s="34">
        <v>289.59120000000001</v>
      </c>
      <c r="E776" s="34">
        <v>237.49275</v>
      </c>
      <c r="F776" s="34">
        <v>0</v>
      </c>
      <c r="G776" s="59">
        <f t="shared" si="22"/>
        <v>0.80514902777777786</v>
      </c>
      <c r="H776" s="63">
        <f t="shared" si="23"/>
        <v>0.80446620370370381</v>
      </c>
      <c r="I776" s="65"/>
    </row>
    <row r="777" spans="1:9" x14ac:dyDescent="0.3">
      <c r="A777" s="33">
        <v>45995.481828703705</v>
      </c>
      <c r="B777" s="34">
        <v>7760</v>
      </c>
      <c r="C777" s="34">
        <v>0.79120000000000001</v>
      </c>
      <c r="D777" s="34">
        <v>289.11619999999999</v>
      </c>
      <c r="E777" s="34">
        <v>228.74301</v>
      </c>
      <c r="F777" s="34">
        <v>0</v>
      </c>
      <c r="G777" s="59">
        <f t="shared" si="22"/>
        <v>0.80376027777777781</v>
      </c>
      <c r="H777" s="63">
        <f t="shared" si="23"/>
        <v>0.80314685185185186</v>
      </c>
      <c r="I777" s="65"/>
    </row>
    <row r="778" spans="1:9" x14ac:dyDescent="0.3">
      <c r="A778" s="33">
        <v>45995.481944444444</v>
      </c>
      <c r="B778" s="34">
        <v>7770</v>
      </c>
      <c r="C778" s="34">
        <v>0.79500000000000004</v>
      </c>
      <c r="D778" s="34">
        <v>288.69119999999998</v>
      </c>
      <c r="E778" s="34">
        <v>229.36799999999999</v>
      </c>
      <c r="F778" s="34">
        <v>0</v>
      </c>
      <c r="G778" s="59">
        <f t="shared" ref="G778:G841" si="24">($B$2/3600)*((D778+D777)/2)</f>
        <v>0.80251027777777773</v>
      </c>
      <c r="H778" s="63">
        <f t="shared" ref="H778:H841" si="25">($B$2/3600)*(D777/3+D778/3+D779/3)</f>
        <v>0.80194314814814815</v>
      </c>
      <c r="I778" s="65"/>
    </row>
    <row r="779" spans="1:9" x14ac:dyDescent="0.3">
      <c r="A779" s="33">
        <v>45995.482060185182</v>
      </c>
      <c r="B779" s="34">
        <v>7780</v>
      </c>
      <c r="C779" s="34">
        <v>0.79620000000000002</v>
      </c>
      <c r="D779" s="34">
        <v>288.2912</v>
      </c>
      <c r="E779" s="34">
        <v>229.36799999999999</v>
      </c>
      <c r="F779" s="34">
        <v>0</v>
      </c>
      <c r="G779" s="59">
        <f t="shared" si="24"/>
        <v>0.80136444444444443</v>
      </c>
      <c r="H779" s="63">
        <f t="shared" si="25"/>
        <v>0.80083203703703709</v>
      </c>
      <c r="I779" s="65"/>
    </row>
    <row r="780" spans="1:9" x14ac:dyDescent="0.3">
      <c r="A780" s="33">
        <v>45995.482175925928</v>
      </c>
      <c r="B780" s="34">
        <v>7790</v>
      </c>
      <c r="C780" s="34">
        <v>0.79749999999999999</v>
      </c>
      <c r="D780" s="34">
        <v>287.9162</v>
      </c>
      <c r="E780" s="34">
        <v>229.99297999999999</v>
      </c>
      <c r="F780" s="34">
        <v>0</v>
      </c>
      <c r="G780" s="59">
        <f t="shared" si="24"/>
        <v>0.8002880555555556</v>
      </c>
      <c r="H780" s="63">
        <f t="shared" si="25"/>
        <v>0.79979037037037037</v>
      </c>
      <c r="I780" s="65"/>
    </row>
    <row r="781" spans="1:9" x14ac:dyDescent="0.3">
      <c r="A781" s="33">
        <v>45995.482291666667</v>
      </c>
      <c r="B781" s="34">
        <v>7800</v>
      </c>
      <c r="C781" s="34">
        <v>0.79749999999999999</v>
      </c>
      <c r="D781" s="34">
        <v>287.56619999999998</v>
      </c>
      <c r="E781" s="34">
        <v>228.74301</v>
      </c>
      <c r="F781" s="34">
        <v>0</v>
      </c>
      <c r="G781" s="59">
        <f t="shared" si="24"/>
        <v>0.79928111111111111</v>
      </c>
      <c r="H781" s="63">
        <f t="shared" si="25"/>
        <v>0.79881814814814811</v>
      </c>
      <c r="I781" s="65"/>
    </row>
    <row r="782" spans="1:9" x14ac:dyDescent="0.3">
      <c r="A782" s="33">
        <v>45995.482407407406</v>
      </c>
      <c r="B782" s="34">
        <v>7810</v>
      </c>
      <c r="C782" s="34">
        <v>0.79620000000000002</v>
      </c>
      <c r="D782" s="34">
        <v>287.24119999999999</v>
      </c>
      <c r="E782" s="34">
        <v>228.74301</v>
      </c>
      <c r="F782" s="34">
        <v>0</v>
      </c>
      <c r="G782" s="59">
        <f t="shared" si="24"/>
        <v>0.79834361111111107</v>
      </c>
      <c r="H782" s="63">
        <f t="shared" si="25"/>
        <v>0.79789222222222222</v>
      </c>
      <c r="I782" s="65"/>
    </row>
    <row r="783" spans="1:9" x14ac:dyDescent="0.3">
      <c r="A783" s="33">
        <v>45995.482523148145</v>
      </c>
      <c r="B783" s="34">
        <v>7820</v>
      </c>
      <c r="C783" s="34">
        <v>0.79249999999999998</v>
      </c>
      <c r="D783" s="34">
        <v>286.9162</v>
      </c>
      <c r="E783" s="34">
        <v>227.49306000000001</v>
      </c>
      <c r="F783" s="34">
        <v>0</v>
      </c>
      <c r="G783" s="59">
        <f t="shared" si="24"/>
        <v>0.79744083333333349</v>
      </c>
      <c r="H783" s="63">
        <f t="shared" si="25"/>
        <v>0.79701259259259261</v>
      </c>
      <c r="I783" s="65"/>
    </row>
    <row r="784" spans="1:9" x14ac:dyDescent="0.3">
      <c r="A784" s="33">
        <v>45995.482638888891</v>
      </c>
      <c r="B784" s="34">
        <v>7830</v>
      </c>
      <c r="C784" s="34">
        <v>0.79120000000000001</v>
      </c>
      <c r="D784" s="34">
        <v>286.61619999999999</v>
      </c>
      <c r="E784" s="34">
        <v>226.86806999999999</v>
      </c>
      <c r="F784" s="34">
        <v>0</v>
      </c>
      <c r="G784" s="59">
        <f t="shared" si="24"/>
        <v>0.79657277777777791</v>
      </c>
      <c r="H784" s="63">
        <f t="shared" si="25"/>
        <v>0.79613305555555547</v>
      </c>
      <c r="I784" s="65"/>
    </row>
    <row r="785" spans="1:9" x14ac:dyDescent="0.3">
      <c r="A785" s="33">
        <v>45995.482754629629</v>
      </c>
      <c r="B785" s="34">
        <v>7840</v>
      </c>
      <c r="C785" s="34">
        <v>0.79120000000000001</v>
      </c>
      <c r="D785" s="34">
        <v>286.29129999999998</v>
      </c>
      <c r="E785" s="34">
        <v>226.2431</v>
      </c>
      <c r="F785" s="34">
        <v>0</v>
      </c>
      <c r="G785" s="59">
        <f t="shared" si="24"/>
        <v>0.79570486111111116</v>
      </c>
      <c r="H785" s="63">
        <f t="shared" si="25"/>
        <v>0.79527666666666674</v>
      </c>
      <c r="I785" s="65"/>
    </row>
    <row r="786" spans="1:9" x14ac:dyDescent="0.3">
      <c r="A786" s="33">
        <v>45995.482870370368</v>
      </c>
      <c r="B786" s="34">
        <v>7850</v>
      </c>
      <c r="C786" s="34">
        <v>0.79</v>
      </c>
      <c r="D786" s="34">
        <v>285.99130000000002</v>
      </c>
      <c r="E786" s="34">
        <v>225.61812</v>
      </c>
      <c r="F786" s="34">
        <v>0</v>
      </c>
      <c r="G786" s="59">
        <f t="shared" si="24"/>
        <v>0.79483694444444453</v>
      </c>
      <c r="H786" s="63">
        <f t="shared" si="25"/>
        <v>0.52989129629629639</v>
      </c>
      <c r="I786" s="66">
        <f>(C792-C786)/(D786/1000)</f>
        <v>1.2675210749417902</v>
      </c>
    </row>
    <row r="787" spans="1:9" x14ac:dyDescent="0.3">
      <c r="A787" s="33">
        <v>45995.482986111114</v>
      </c>
      <c r="B787" s="34">
        <v>7860</v>
      </c>
      <c r="C787" s="34">
        <v>1.1036999999999999</v>
      </c>
      <c r="D787" s="34">
        <v>0</v>
      </c>
      <c r="E787" s="34">
        <v>0</v>
      </c>
      <c r="F787" s="34">
        <v>1</v>
      </c>
      <c r="G787" s="59">
        <f t="shared" si="24"/>
        <v>0.39721013888888895</v>
      </c>
      <c r="H787" s="63">
        <f t="shared" si="25"/>
        <v>0.26480675925925928</v>
      </c>
      <c r="I787" s="65"/>
    </row>
    <row r="788" spans="1:9" x14ac:dyDescent="0.3">
      <c r="A788" s="33">
        <v>45995.483101851853</v>
      </c>
      <c r="B788" s="34">
        <v>7870</v>
      </c>
      <c r="C788" s="34">
        <v>1.1274999999999999</v>
      </c>
      <c r="D788" s="34">
        <v>0</v>
      </c>
      <c r="E788" s="34">
        <v>0</v>
      </c>
      <c r="F788" s="34">
        <v>1</v>
      </c>
      <c r="G788" s="59">
        <f t="shared" si="24"/>
        <v>0</v>
      </c>
      <c r="H788" s="63">
        <f t="shared" si="25"/>
        <v>0</v>
      </c>
      <c r="I788" s="65"/>
    </row>
    <row r="789" spans="1:9" x14ac:dyDescent="0.3">
      <c r="A789" s="33">
        <v>45995.483217592591</v>
      </c>
      <c r="B789" s="34">
        <v>7880</v>
      </c>
      <c r="C789" s="34">
        <v>1.1413</v>
      </c>
      <c r="D789" s="34">
        <v>0</v>
      </c>
      <c r="E789" s="34">
        <v>0</v>
      </c>
      <c r="F789" s="34">
        <v>1</v>
      </c>
      <c r="G789" s="59">
        <f t="shared" si="24"/>
        <v>0</v>
      </c>
      <c r="H789" s="63">
        <f t="shared" si="25"/>
        <v>0</v>
      </c>
      <c r="I789" s="65"/>
    </row>
    <row r="790" spans="1:9" x14ac:dyDescent="0.3">
      <c r="A790" s="33">
        <v>45995.48333333333</v>
      </c>
      <c r="B790" s="34">
        <v>7890</v>
      </c>
      <c r="C790" s="34">
        <v>1.1425000000000001</v>
      </c>
      <c r="D790" s="34">
        <v>0</v>
      </c>
      <c r="E790" s="34">
        <v>0</v>
      </c>
      <c r="F790" s="34">
        <v>1</v>
      </c>
      <c r="G790" s="59">
        <f t="shared" si="24"/>
        <v>0</v>
      </c>
      <c r="H790" s="63">
        <f t="shared" si="25"/>
        <v>0</v>
      </c>
      <c r="I790" s="65"/>
    </row>
    <row r="791" spans="1:9" x14ac:dyDescent="0.3">
      <c r="A791" s="33">
        <v>45995.483449074076</v>
      </c>
      <c r="B791" s="34">
        <v>7900</v>
      </c>
      <c r="C791" s="34">
        <v>1.1487000000000001</v>
      </c>
      <c r="D791" s="34">
        <v>0</v>
      </c>
      <c r="E791" s="34">
        <v>0</v>
      </c>
      <c r="F791" s="34">
        <v>1</v>
      </c>
      <c r="G791" s="59">
        <f t="shared" si="24"/>
        <v>0</v>
      </c>
      <c r="H791" s="63">
        <f t="shared" si="25"/>
        <v>0</v>
      </c>
      <c r="I791" s="65"/>
    </row>
    <row r="792" spans="1:9" x14ac:dyDescent="0.3">
      <c r="A792" s="33">
        <v>45995.483564814815</v>
      </c>
      <c r="B792" s="34">
        <v>7910</v>
      </c>
      <c r="C792" s="34">
        <v>1.1525000000000001</v>
      </c>
      <c r="D792" s="34">
        <v>0</v>
      </c>
      <c r="E792" s="34">
        <v>0</v>
      </c>
      <c r="F792" s="34">
        <v>1</v>
      </c>
      <c r="G792" s="59">
        <f t="shared" si="24"/>
        <v>0</v>
      </c>
      <c r="H792" s="63">
        <f t="shared" si="25"/>
        <v>0.28040814814814818</v>
      </c>
      <c r="I792" s="65"/>
    </row>
    <row r="793" spans="1:9" x14ac:dyDescent="0.3">
      <c r="A793" s="33">
        <v>45995.483680555553</v>
      </c>
      <c r="B793" s="34">
        <v>7920</v>
      </c>
      <c r="C793" s="34">
        <v>0.84379999999999999</v>
      </c>
      <c r="D793" s="34">
        <v>302.8408</v>
      </c>
      <c r="E793" s="34">
        <v>255.6172</v>
      </c>
      <c r="F793" s="34">
        <v>0</v>
      </c>
      <c r="G793" s="59">
        <f t="shared" si="24"/>
        <v>0.42061222222222222</v>
      </c>
      <c r="H793" s="63">
        <f t="shared" si="25"/>
        <v>0.55347851851851859</v>
      </c>
      <c r="I793" s="66">
        <f>(C792-C793)/(D793/1000)</f>
        <v>1.0193474591270399</v>
      </c>
    </row>
    <row r="794" spans="1:9" x14ac:dyDescent="0.3">
      <c r="A794" s="33">
        <v>45995.483796296299</v>
      </c>
      <c r="B794" s="34">
        <v>7930</v>
      </c>
      <c r="C794" s="34">
        <v>0.82250000000000001</v>
      </c>
      <c r="D794" s="34">
        <v>294.916</v>
      </c>
      <c r="E794" s="34">
        <v>242.49260000000001</v>
      </c>
      <c r="F794" s="34">
        <v>0</v>
      </c>
      <c r="G794" s="59">
        <f t="shared" si="24"/>
        <v>0.83021777777777783</v>
      </c>
      <c r="H794" s="63">
        <f t="shared" si="25"/>
        <v>0.8236323148148148</v>
      </c>
      <c r="I794" s="65"/>
    </row>
    <row r="795" spans="1:9" x14ac:dyDescent="0.3">
      <c r="A795" s="33">
        <v>45995.483912037038</v>
      </c>
      <c r="B795" s="34">
        <v>7940</v>
      </c>
      <c r="C795" s="34">
        <v>0.81</v>
      </c>
      <c r="D795" s="34">
        <v>291.76609999999999</v>
      </c>
      <c r="E795" s="34">
        <v>235.61780999999999</v>
      </c>
      <c r="F795" s="34">
        <v>0</v>
      </c>
      <c r="G795" s="59">
        <f t="shared" si="24"/>
        <v>0.81483625000000004</v>
      </c>
      <c r="H795" s="63">
        <f t="shared" si="25"/>
        <v>0.81175759259259261</v>
      </c>
      <c r="I795" s="65"/>
    </row>
    <row r="796" spans="1:9" x14ac:dyDescent="0.3">
      <c r="A796" s="33">
        <v>45995.484027777777</v>
      </c>
      <c r="B796" s="34">
        <v>7950</v>
      </c>
      <c r="C796" s="34">
        <v>0.80249999999999999</v>
      </c>
      <c r="D796" s="34">
        <v>290.01609999999999</v>
      </c>
      <c r="E796" s="34">
        <v>233.11788999999999</v>
      </c>
      <c r="F796" s="34">
        <v>0</v>
      </c>
      <c r="G796" s="59">
        <f t="shared" si="24"/>
        <v>0.80803083333333336</v>
      </c>
      <c r="H796" s="63">
        <f t="shared" si="25"/>
        <v>0.80610962962962962</v>
      </c>
      <c r="I796" s="65"/>
    </row>
    <row r="797" spans="1:9" x14ac:dyDescent="0.3">
      <c r="A797" s="33">
        <v>45995.484143518515</v>
      </c>
      <c r="B797" s="34">
        <v>7960</v>
      </c>
      <c r="C797" s="34">
        <v>0.79869999999999997</v>
      </c>
      <c r="D797" s="34">
        <v>288.81619999999998</v>
      </c>
      <c r="E797" s="34">
        <v>230.61797000000001</v>
      </c>
      <c r="F797" s="34">
        <v>0</v>
      </c>
      <c r="G797" s="59">
        <f t="shared" si="24"/>
        <v>0.80393375000000011</v>
      </c>
      <c r="H797" s="63">
        <f t="shared" si="25"/>
        <v>0.80259120370370374</v>
      </c>
      <c r="I797" s="65"/>
    </row>
    <row r="798" spans="1:9" x14ac:dyDescent="0.3">
      <c r="A798" s="33">
        <v>45995.484259259261</v>
      </c>
      <c r="B798" s="34">
        <v>7970</v>
      </c>
      <c r="C798" s="34">
        <v>0.80249999999999999</v>
      </c>
      <c r="D798" s="34">
        <v>287.96620000000001</v>
      </c>
      <c r="E798" s="34">
        <v>231.24295000000001</v>
      </c>
      <c r="F798" s="34">
        <v>0</v>
      </c>
      <c r="G798" s="59">
        <f t="shared" si="24"/>
        <v>0.80108666666666672</v>
      </c>
      <c r="H798" s="63">
        <f t="shared" si="25"/>
        <v>0.80004500000000012</v>
      </c>
      <c r="I798" s="65"/>
    </row>
    <row r="799" spans="1:9" x14ac:dyDescent="0.3">
      <c r="A799" s="33">
        <v>45995.484375</v>
      </c>
      <c r="B799" s="34">
        <v>7980</v>
      </c>
      <c r="C799" s="34">
        <v>0.76</v>
      </c>
      <c r="D799" s="34">
        <v>287.26620000000003</v>
      </c>
      <c r="E799" s="34">
        <v>218.11834999999999</v>
      </c>
      <c r="F799" s="34">
        <v>0</v>
      </c>
      <c r="G799" s="59">
        <f t="shared" si="24"/>
        <v>0.79893388888888905</v>
      </c>
      <c r="H799" s="63">
        <f t="shared" si="25"/>
        <v>0.7981005555555557</v>
      </c>
      <c r="I799" s="65"/>
    </row>
    <row r="800" spans="1:9" x14ac:dyDescent="0.3">
      <c r="A800" s="33">
        <v>45995.484490740739</v>
      </c>
      <c r="B800" s="34">
        <v>7990</v>
      </c>
      <c r="C800" s="34">
        <v>0.76</v>
      </c>
      <c r="D800" s="34">
        <v>286.71620000000001</v>
      </c>
      <c r="E800" s="34">
        <v>217.49336</v>
      </c>
      <c r="F800" s="34">
        <v>0</v>
      </c>
      <c r="G800" s="59">
        <f t="shared" si="24"/>
        <v>0.79719777777777789</v>
      </c>
      <c r="H800" s="63">
        <f t="shared" si="25"/>
        <v>0.79650333333333334</v>
      </c>
      <c r="I800" s="65"/>
    </row>
    <row r="801" spans="1:9" x14ac:dyDescent="0.3">
      <c r="A801" s="33">
        <v>45995.484606481485</v>
      </c>
      <c r="B801" s="34">
        <v>8000</v>
      </c>
      <c r="C801" s="34">
        <v>0.78129999999999999</v>
      </c>
      <c r="D801" s="34">
        <v>286.24119999999999</v>
      </c>
      <c r="E801" s="34">
        <v>223.74315999999999</v>
      </c>
      <c r="F801" s="34">
        <v>0</v>
      </c>
      <c r="G801" s="59">
        <f t="shared" si="24"/>
        <v>0.79577416666666667</v>
      </c>
      <c r="H801" s="63">
        <f t="shared" si="25"/>
        <v>0.79513768518518513</v>
      </c>
      <c r="I801" s="65"/>
    </row>
    <row r="802" spans="1:9" x14ac:dyDescent="0.3">
      <c r="A802" s="33">
        <v>45995.484722222223</v>
      </c>
      <c r="B802" s="34">
        <v>8010</v>
      </c>
      <c r="C802" s="34">
        <v>0.78129999999999999</v>
      </c>
      <c r="D802" s="34">
        <v>285.79129999999998</v>
      </c>
      <c r="E802" s="34">
        <v>223.11819</v>
      </c>
      <c r="F802" s="34">
        <v>0</v>
      </c>
      <c r="G802" s="59">
        <f t="shared" si="24"/>
        <v>0.79448958333333342</v>
      </c>
      <c r="H802" s="63">
        <f t="shared" si="25"/>
        <v>0.79388777777777775</v>
      </c>
      <c r="I802" s="65"/>
    </row>
    <row r="803" spans="1:9" x14ac:dyDescent="0.3">
      <c r="A803" s="33">
        <v>45995.484837962962</v>
      </c>
      <c r="B803" s="34">
        <v>8020</v>
      </c>
      <c r="C803" s="34">
        <v>0.79</v>
      </c>
      <c r="D803" s="34">
        <v>285.36630000000002</v>
      </c>
      <c r="E803" s="34">
        <v>224.99313000000001</v>
      </c>
      <c r="F803" s="34">
        <v>0</v>
      </c>
      <c r="G803" s="59">
        <f t="shared" si="24"/>
        <v>0.7932744444444445</v>
      </c>
      <c r="H803" s="63">
        <f t="shared" si="25"/>
        <v>0.79270731481481493</v>
      </c>
      <c r="I803" s="65"/>
    </row>
    <row r="804" spans="1:9" x14ac:dyDescent="0.3">
      <c r="A804" s="33">
        <v>45995.484953703701</v>
      </c>
      <c r="B804" s="34">
        <v>8030</v>
      </c>
      <c r="C804" s="34">
        <v>0.79120000000000001</v>
      </c>
      <c r="D804" s="34">
        <v>284.96629999999999</v>
      </c>
      <c r="E804" s="34">
        <v>225.61812</v>
      </c>
      <c r="F804" s="34">
        <v>0</v>
      </c>
      <c r="G804" s="59">
        <f t="shared" si="24"/>
        <v>0.7921286111111111</v>
      </c>
      <c r="H804" s="63">
        <f t="shared" si="25"/>
        <v>0.79159620370370365</v>
      </c>
      <c r="I804" s="65"/>
    </row>
    <row r="805" spans="1:9" x14ac:dyDescent="0.3">
      <c r="A805" s="33">
        <v>45995.485069444447</v>
      </c>
      <c r="B805" s="34">
        <v>8040</v>
      </c>
      <c r="C805" s="34">
        <v>0.78869999999999996</v>
      </c>
      <c r="D805" s="34">
        <v>284.59129999999999</v>
      </c>
      <c r="E805" s="34">
        <v>224.36815000000001</v>
      </c>
      <c r="F805" s="34">
        <v>0</v>
      </c>
      <c r="G805" s="59">
        <f t="shared" si="24"/>
        <v>0.79105222222222227</v>
      </c>
      <c r="H805" s="63">
        <f t="shared" si="25"/>
        <v>0.79055453703703704</v>
      </c>
      <c r="I805" s="65"/>
    </row>
    <row r="806" spans="1:9" x14ac:dyDescent="0.3">
      <c r="A806" s="33">
        <v>45995.485185185185</v>
      </c>
      <c r="B806" s="34">
        <v>8050</v>
      </c>
      <c r="C806" s="34">
        <v>0.78869999999999996</v>
      </c>
      <c r="D806" s="34">
        <v>284.24130000000002</v>
      </c>
      <c r="E806" s="34">
        <v>224.36815000000001</v>
      </c>
      <c r="F806" s="34">
        <v>0</v>
      </c>
      <c r="G806" s="59">
        <f t="shared" si="24"/>
        <v>0.79004527777777778</v>
      </c>
      <c r="H806" s="63">
        <f t="shared" si="25"/>
        <v>0.78955916666666659</v>
      </c>
      <c r="I806" s="65"/>
    </row>
    <row r="807" spans="1:9" x14ac:dyDescent="0.3">
      <c r="A807" s="33">
        <v>45995.485300925924</v>
      </c>
      <c r="B807" s="34">
        <v>8060</v>
      </c>
      <c r="C807" s="34">
        <v>0.79</v>
      </c>
      <c r="D807" s="34">
        <v>283.8913</v>
      </c>
      <c r="E807" s="34">
        <v>224.36815000000001</v>
      </c>
      <c r="F807" s="34">
        <v>0</v>
      </c>
      <c r="G807" s="59">
        <f t="shared" si="24"/>
        <v>0.78907305555555562</v>
      </c>
      <c r="H807" s="63">
        <f t="shared" si="25"/>
        <v>0.78858703703703714</v>
      </c>
      <c r="I807" s="65"/>
    </row>
    <row r="808" spans="1:9" x14ac:dyDescent="0.3">
      <c r="A808" s="33">
        <v>45995.48541666667</v>
      </c>
      <c r="B808" s="34">
        <v>8070</v>
      </c>
      <c r="C808" s="34">
        <v>0.78749999999999998</v>
      </c>
      <c r="D808" s="34">
        <v>283.54140000000001</v>
      </c>
      <c r="E808" s="34">
        <v>223.11819</v>
      </c>
      <c r="F808" s="34">
        <v>0</v>
      </c>
      <c r="G808" s="59">
        <f t="shared" si="24"/>
        <v>0.78810097222222231</v>
      </c>
      <c r="H808" s="63">
        <f t="shared" si="25"/>
        <v>0.78761481481481488</v>
      </c>
      <c r="I808" s="65"/>
    </row>
    <row r="809" spans="1:9" x14ac:dyDescent="0.3">
      <c r="A809" s="33">
        <v>45995.485532407409</v>
      </c>
      <c r="B809" s="34">
        <v>8080</v>
      </c>
      <c r="C809" s="34">
        <v>0.78620000000000001</v>
      </c>
      <c r="D809" s="34">
        <v>283.19130000000001</v>
      </c>
      <c r="E809" s="34">
        <v>222.49321</v>
      </c>
      <c r="F809" s="34">
        <v>0</v>
      </c>
      <c r="G809" s="59">
        <f t="shared" si="24"/>
        <v>0.78712875000000004</v>
      </c>
      <c r="H809" s="63">
        <f t="shared" si="25"/>
        <v>0.78668898148148148</v>
      </c>
      <c r="I809" s="65"/>
    </row>
    <row r="810" spans="1:9" x14ac:dyDescent="0.3">
      <c r="A810" s="33">
        <v>45995.485648148147</v>
      </c>
      <c r="B810" s="34">
        <v>8090</v>
      </c>
      <c r="C810" s="34">
        <v>0.78369999999999995</v>
      </c>
      <c r="D810" s="34">
        <v>282.89139999999998</v>
      </c>
      <c r="E810" s="34">
        <v>221.86823000000001</v>
      </c>
      <c r="F810" s="34">
        <v>0</v>
      </c>
      <c r="G810" s="59">
        <f t="shared" si="24"/>
        <v>0.78622597222222212</v>
      </c>
      <c r="H810" s="63">
        <f t="shared" si="25"/>
        <v>0.52415064814814816</v>
      </c>
      <c r="I810" s="66">
        <f>(C816-C810)/(D810/1000)</f>
        <v>1.3390297478113515</v>
      </c>
    </row>
    <row r="811" spans="1:9" x14ac:dyDescent="0.3">
      <c r="A811" s="33">
        <v>45995.485763888886</v>
      </c>
      <c r="B811" s="34">
        <v>8100</v>
      </c>
      <c r="C811" s="34">
        <v>1.1112</v>
      </c>
      <c r="D811" s="34">
        <v>0</v>
      </c>
      <c r="E811" s="34">
        <v>0</v>
      </c>
      <c r="F811" s="34">
        <v>1</v>
      </c>
      <c r="G811" s="59">
        <f t="shared" si="24"/>
        <v>0.39290472222222222</v>
      </c>
      <c r="H811" s="63">
        <f t="shared" si="25"/>
        <v>0.26193648148148146</v>
      </c>
      <c r="I811" s="65"/>
    </row>
    <row r="812" spans="1:9" x14ac:dyDescent="0.3">
      <c r="A812" s="33">
        <v>45995.485879629632</v>
      </c>
      <c r="B812" s="34">
        <v>8110</v>
      </c>
      <c r="C812" s="34">
        <v>1.1413</v>
      </c>
      <c r="D812" s="34">
        <v>0</v>
      </c>
      <c r="E812" s="34">
        <v>0</v>
      </c>
      <c r="F812" s="34">
        <v>1</v>
      </c>
      <c r="G812" s="59">
        <f t="shared" si="24"/>
        <v>0</v>
      </c>
      <c r="H812" s="63">
        <f t="shared" si="25"/>
        <v>0</v>
      </c>
      <c r="I812" s="65"/>
    </row>
    <row r="813" spans="1:9" x14ac:dyDescent="0.3">
      <c r="A813" s="33">
        <v>45995.485995370371</v>
      </c>
      <c r="B813" s="34">
        <v>8120</v>
      </c>
      <c r="C813" s="34">
        <v>1.1487000000000001</v>
      </c>
      <c r="D813" s="34">
        <v>0</v>
      </c>
      <c r="E813" s="34">
        <v>0</v>
      </c>
      <c r="F813" s="34">
        <v>1</v>
      </c>
      <c r="G813" s="59">
        <f t="shared" si="24"/>
        <v>0</v>
      </c>
      <c r="H813" s="63">
        <f t="shared" si="25"/>
        <v>0</v>
      </c>
      <c r="I813" s="65"/>
    </row>
    <row r="814" spans="1:9" x14ac:dyDescent="0.3">
      <c r="A814" s="33">
        <v>45995.486111111109</v>
      </c>
      <c r="B814" s="34">
        <v>8130</v>
      </c>
      <c r="C814" s="34">
        <v>1.1575</v>
      </c>
      <c r="D814" s="34">
        <v>0</v>
      </c>
      <c r="E814" s="34">
        <v>0</v>
      </c>
      <c r="F814" s="34">
        <v>1</v>
      </c>
      <c r="G814" s="59">
        <f t="shared" si="24"/>
        <v>0</v>
      </c>
      <c r="H814" s="63">
        <f t="shared" si="25"/>
        <v>0</v>
      </c>
      <c r="I814" s="65"/>
    </row>
    <row r="815" spans="1:9" x14ac:dyDescent="0.3">
      <c r="A815" s="33">
        <v>45995.486226851855</v>
      </c>
      <c r="B815" s="34">
        <v>8140</v>
      </c>
      <c r="C815" s="34">
        <v>1.1599999999999999</v>
      </c>
      <c r="D815" s="34">
        <v>0</v>
      </c>
      <c r="E815" s="34">
        <v>0</v>
      </c>
      <c r="F815" s="34">
        <v>1</v>
      </c>
      <c r="G815" s="59">
        <f t="shared" si="24"/>
        <v>0</v>
      </c>
      <c r="H815" s="63">
        <f t="shared" si="25"/>
        <v>0</v>
      </c>
      <c r="I815" s="65"/>
    </row>
    <row r="816" spans="1:9" x14ac:dyDescent="0.3">
      <c r="A816" s="33">
        <v>45995.486342592594</v>
      </c>
      <c r="B816" s="34">
        <v>8150</v>
      </c>
      <c r="C816" s="34">
        <v>1.1625000000000001</v>
      </c>
      <c r="D816" s="34">
        <v>0</v>
      </c>
      <c r="E816" s="34">
        <v>0</v>
      </c>
      <c r="F816" s="34">
        <v>1</v>
      </c>
      <c r="G816" s="59">
        <f t="shared" si="24"/>
        <v>0</v>
      </c>
      <c r="H816" s="63">
        <f t="shared" si="25"/>
        <v>0.27862574074074076</v>
      </c>
      <c r="I816" s="65"/>
    </row>
    <row r="817" spans="1:9" x14ac:dyDescent="0.3">
      <c r="A817" s="33">
        <v>45995.486458333333</v>
      </c>
      <c r="B817" s="34">
        <v>8160</v>
      </c>
      <c r="C817" s="34">
        <v>0.85870000000000002</v>
      </c>
      <c r="D817" s="34">
        <v>300.91579999999999</v>
      </c>
      <c r="E817" s="34">
        <v>258.74209999999999</v>
      </c>
      <c r="F817" s="34">
        <v>0</v>
      </c>
      <c r="G817" s="59">
        <f t="shared" si="24"/>
        <v>0.41793861111111114</v>
      </c>
      <c r="H817" s="63">
        <f t="shared" si="25"/>
        <v>0.54940453703703707</v>
      </c>
      <c r="I817" s="66">
        <f>(C816-C817)/(D817/1000)</f>
        <v>1.0095847409806997</v>
      </c>
    </row>
    <row r="818" spans="1:9" x14ac:dyDescent="0.3">
      <c r="A818" s="33">
        <v>45995.486574074072</v>
      </c>
      <c r="B818" s="34">
        <v>8170</v>
      </c>
      <c r="C818" s="34">
        <v>0.83379999999999999</v>
      </c>
      <c r="D818" s="34">
        <v>292.44110000000001</v>
      </c>
      <c r="E818" s="34">
        <v>243.74254999999999</v>
      </c>
      <c r="F818" s="34">
        <v>0</v>
      </c>
      <c r="G818" s="59">
        <f t="shared" si="24"/>
        <v>0.8241068055555556</v>
      </c>
      <c r="H818" s="63">
        <f t="shared" si="25"/>
        <v>0.8171047222222223</v>
      </c>
      <c r="I818" s="65"/>
    </row>
    <row r="819" spans="1:9" x14ac:dyDescent="0.3">
      <c r="A819" s="33">
        <v>45995.486689814818</v>
      </c>
      <c r="B819" s="34">
        <v>8180</v>
      </c>
      <c r="C819" s="34">
        <v>0.82369999999999999</v>
      </c>
      <c r="D819" s="34">
        <v>289.11619999999999</v>
      </c>
      <c r="E819" s="34">
        <v>238.74270999999999</v>
      </c>
      <c r="F819" s="34">
        <v>0</v>
      </c>
      <c r="G819" s="59">
        <f t="shared" si="24"/>
        <v>0.80771847222222215</v>
      </c>
      <c r="H819" s="63">
        <f t="shared" si="25"/>
        <v>0.80439675925925924</v>
      </c>
      <c r="I819" s="65"/>
    </row>
    <row r="820" spans="1:9" x14ac:dyDescent="0.3">
      <c r="A820" s="33">
        <v>45995.486805555556</v>
      </c>
      <c r="B820" s="34">
        <v>8190</v>
      </c>
      <c r="C820" s="34">
        <v>0.81869999999999998</v>
      </c>
      <c r="D820" s="34">
        <v>287.19119999999998</v>
      </c>
      <c r="E820" s="34">
        <v>235.61780999999999</v>
      </c>
      <c r="F820" s="34">
        <v>0</v>
      </c>
      <c r="G820" s="59">
        <f t="shared" si="24"/>
        <v>0.8004269444444444</v>
      </c>
      <c r="H820" s="63">
        <f t="shared" si="25"/>
        <v>0.79833212962962963</v>
      </c>
      <c r="I820" s="65"/>
    </row>
    <row r="821" spans="1:9" x14ac:dyDescent="0.3">
      <c r="A821" s="33">
        <v>45995.486921296295</v>
      </c>
      <c r="B821" s="34">
        <v>8200</v>
      </c>
      <c r="C821" s="34">
        <v>0.81369999999999998</v>
      </c>
      <c r="D821" s="34">
        <v>285.8913</v>
      </c>
      <c r="E821" s="34">
        <v>233.11788999999999</v>
      </c>
      <c r="F821" s="34">
        <v>0</v>
      </c>
      <c r="G821" s="59">
        <f t="shared" si="24"/>
        <v>0.79594791666666664</v>
      </c>
      <c r="H821" s="63">
        <f t="shared" si="25"/>
        <v>0.79444333333333328</v>
      </c>
      <c r="I821" s="65"/>
    </row>
    <row r="822" spans="1:9" x14ac:dyDescent="0.3">
      <c r="A822" s="33">
        <v>45995.487037037034</v>
      </c>
      <c r="B822" s="34">
        <v>8210</v>
      </c>
      <c r="C822" s="34">
        <v>0.81</v>
      </c>
      <c r="D822" s="34">
        <v>284.91629999999998</v>
      </c>
      <c r="E822" s="34">
        <v>230.61797000000001</v>
      </c>
      <c r="F822" s="34">
        <v>0</v>
      </c>
      <c r="G822" s="59">
        <f t="shared" si="24"/>
        <v>0.79278833333333332</v>
      </c>
      <c r="H822" s="63">
        <f t="shared" si="25"/>
        <v>0.79164250000000014</v>
      </c>
      <c r="I822" s="65"/>
    </row>
    <row r="823" spans="1:9" x14ac:dyDescent="0.3">
      <c r="A823" s="33">
        <v>45995.48715277778</v>
      </c>
      <c r="B823" s="34">
        <v>8220</v>
      </c>
      <c r="C823" s="34">
        <v>0.8075</v>
      </c>
      <c r="D823" s="34">
        <v>284.16629999999998</v>
      </c>
      <c r="E823" s="34">
        <v>229.36799999999999</v>
      </c>
      <c r="F823" s="34">
        <v>0</v>
      </c>
      <c r="G823" s="59">
        <f t="shared" si="24"/>
        <v>0.79039249999999994</v>
      </c>
      <c r="H823" s="63">
        <f t="shared" si="25"/>
        <v>0.78948972222222225</v>
      </c>
      <c r="I823" s="65"/>
    </row>
    <row r="824" spans="1:9" x14ac:dyDescent="0.3">
      <c r="A824" s="33">
        <v>45995.487268518518</v>
      </c>
      <c r="B824" s="34">
        <v>8230</v>
      </c>
      <c r="C824" s="34">
        <v>0.80620000000000003</v>
      </c>
      <c r="D824" s="34">
        <v>283.56630000000001</v>
      </c>
      <c r="E824" s="34">
        <v>228.74301</v>
      </c>
      <c r="F824" s="34">
        <v>0</v>
      </c>
      <c r="G824" s="59">
        <f t="shared" si="24"/>
        <v>0.78851750000000009</v>
      </c>
      <c r="H824" s="63">
        <f t="shared" si="25"/>
        <v>0.78775370370370379</v>
      </c>
      <c r="I824" s="65"/>
    </row>
    <row r="825" spans="1:9" x14ac:dyDescent="0.3">
      <c r="A825" s="33">
        <v>45995.487384259257</v>
      </c>
      <c r="B825" s="34">
        <v>8240</v>
      </c>
      <c r="C825" s="34">
        <v>0.80369999999999997</v>
      </c>
      <c r="D825" s="34">
        <v>283.04140000000001</v>
      </c>
      <c r="E825" s="34">
        <v>227.49306000000001</v>
      </c>
      <c r="F825" s="34">
        <v>0</v>
      </c>
      <c r="G825" s="59">
        <f t="shared" si="24"/>
        <v>0.78695513888888891</v>
      </c>
      <c r="H825" s="63">
        <f t="shared" si="25"/>
        <v>0.78624916666666678</v>
      </c>
      <c r="I825" s="65"/>
    </row>
    <row r="826" spans="1:9" x14ac:dyDescent="0.3">
      <c r="A826" s="33">
        <v>45995.487500000003</v>
      </c>
      <c r="B826" s="34">
        <v>8250</v>
      </c>
      <c r="C826" s="34">
        <v>0.80369999999999997</v>
      </c>
      <c r="D826" s="34">
        <v>282.54140000000001</v>
      </c>
      <c r="E826" s="34">
        <v>226.86806999999999</v>
      </c>
      <c r="F826" s="34">
        <v>0</v>
      </c>
      <c r="G826" s="59">
        <f t="shared" si="24"/>
        <v>0.78553166666666674</v>
      </c>
      <c r="H826" s="63">
        <f t="shared" si="25"/>
        <v>0.78488351851851856</v>
      </c>
      <c r="I826" s="65"/>
    </row>
    <row r="827" spans="1:9" x14ac:dyDescent="0.3">
      <c r="A827" s="33">
        <v>45995.487615740742</v>
      </c>
      <c r="B827" s="34">
        <v>8260</v>
      </c>
      <c r="C827" s="34">
        <v>0.80120000000000002</v>
      </c>
      <c r="D827" s="34">
        <v>282.09140000000002</v>
      </c>
      <c r="E827" s="34">
        <v>226.2431</v>
      </c>
      <c r="F827" s="34">
        <v>0</v>
      </c>
      <c r="G827" s="59">
        <f t="shared" si="24"/>
        <v>0.78421222222222242</v>
      </c>
      <c r="H827" s="63">
        <f t="shared" si="25"/>
        <v>0.7836103703703704</v>
      </c>
      <c r="I827" s="65"/>
    </row>
    <row r="828" spans="1:9" x14ac:dyDescent="0.3">
      <c r="A828" s="33">
        <v>45995.48773148148</v>
      </c>
      <c r="B828" s="34">
        <v>8270</v>
      </c>
      <c r="C828" s="34">
        <v>0.8</v>
      </c>
      <c r="D828" s="34">
        <v>281.66640000000001</v>
      </c>
      <c r="E828" s="34">
        <v>224.99313000000001</v>
      </c>
      <c r="F828" s="34">
        <v>0</v>
      </c>
      <c r="G828" s="59">
        <f t="shared" si="24"/>
        <v>0.78299694444444456</v>
      </c>
      <c r="H828" s="63">
        <f t="shared" si="25"/>
        <v>0.78238351851851862</v>
      </c>
      <c r="I828" s="65"/>
    </row>
    <row r="829" spans="1:9" x14ac:dyDescent="0.3">
      <c r="A829" s="33">
        <v>45995.487847222219</v>
      </c>
      <c r="B829" s="34">
        <v>8280</v>
      </c>
      <c r="C829" s="34">
        <v>0.80249999999999999</v>
      </c>
      <c r="D829" s="34">
        <v>281.21640000000002</v>
      </c>
      <c r="E829" s="34">
        <v>224.99313000000001</v>
      </c>
      <c r="F829" s="34">
        <v>0</v>
      </c>
      <c r="G829" s="59">
        <f t="shared" si="24"/>
        <v>0.78178166666666682</v>
      </c>
      <c r="H829" s="63">
        <f t="shared" si="25"/>
        <v>0.78120296296296299</v>
      </c>
      <c r="I829" s="65"/>
    </row>
    <row r="830" spans="1:9" x14ac:dyDescent="0.3">
      <c r="A830" s="33">
        <v>45995.487962962965</v>
      </c>
      <c r="B830" s="34">
        <v>8290</v>
      </c>
      <c r="C830" s="34">
        <v>0.8</v>
      </c>
      <c r="D830" s="34">
        <v>280.81639999999999</v>
      </c>
      <c r="E830" s="34">
        <v>224.36815000000001</v>
      </c>
      <c r="F830" s="34">
        <v>0</v>
      </c>
      <c r="G830" s="59">
        <f t="shared" si="24"/>
        <v>0.78060111111111108</v>
      </c>
      <c r="H830" s="63">
        <f t="shared" si="25"/>
        <v>0.78004555555555555</v>
      </c>
      <c r="I830" s="65"/>
    </row>
    <row r="831" spans="1:9" x14ac:dyDescent="0.3">
      <c r="A831" s="33">
        <v>45995.488078703704</v>
      </c>
      <c r="B831" s="34">
        <v>8300</v>
      </c>
      <c r="C831" s="34">
        <v>0.79869999999999997</v>
      </c>
      <c r="D831" s="34">
        <v>280.41640000000001</v>
      </c>
      <c r="E831" s="34">
        <v>223.74315999999999</v>
      </c>
      <c r="F831" s="34">
        <v>0</v>
      </c>
      <c r="G831" s="59">
        <f t="shared" si="24"/>
        <v>0.77949000000000002</v>
      </c>
      <c r="H831" s="63">
        <f t="shared" si="25"/>
        <v>0.77893444444444437</v>
      </c>
      <c r="I831" s="65"/>
    </row>
    <row r="832" spans="1:9" x14ac:dyDescent="0.3">
      <c r="A832" s="33">
        <v>45995.488194444442</v>
      </c>
      <c r="B832" s="34">
        <v>8310</v>
      </c>
      <c r="C832" s="34">
        <v>0.79869999999999997</v>
      </c>
      <c r="D832" s="34">
        <v>280.01639999999998</v>
      </c>
      <c r="E832" s="34">
        <v>223.11819</v>
      </c>
      <c r="F832" s="34">
        <v>0</v>
      </c>
      <c r="G832" s="59">
        <f t="shared" si="24"/>
        <v>0.77837888888888895</v>
      </c>
      <c r="H832" s="63">
        <f t="shared" si="25"/>
        <v>0.77780027777777772</v>
      </c>
      <c r="I832" s="65"/>
    </row>
    <row r="833" spans="1:9" x14ac:dyDescent="0.3">
      <c r="A833" s="33">
        <v>45995.488310185188</v>
      </c>
      <c r="B833" s="34">
        <v>8320</v>
      </c>
      <c r="C833" s="34">
        <v>0.79749999999999999</v>
      </c>
      <c r="D833" s="34">
        <v>279.5915</v>
      </c>
      <c r="E833" s="34">
        <v>223.11819</v>
      </c>
      <c r="F833" s="34">
        <v>0</v>
      </c>
      <c r="G833" s="59">
        <f t="shared" si="24"/>
        <v>0.77723319444444439</v>
      </c>
      <c r="H833" s="63">
        <f t="shared" si="25"/>
        <v>0.77666611111111106</v>
      </c>
      <c r="I833" s="65"/>
    </row>
    <row r="834" spans="1:9" x14ac:dyDescent="0.3">
      <c r="A834" s="33">
        <v>45995.488425925927</v>
      </c>
      <c r="B834" s="34">
        <v>8330</v>
      </c>
      <c r="C834" s="34">
        <v>0.79620000000000002</v>
      </c>
      <c r="D834" s="34">
        <v>279.19150000000002</v>
      </c>
      <c r="E834" s="34">
        <v>222.49321</v>
      </c>
      <c r="F834" s="34">
        <v>0</v>
      </c>
      <c r="G834" s="59">
        <f t="shared" si="24"/>
        <v>0.77608750000000004</v>
      </c>
      <c r="H834" s="63">
        <f t="shared" si="25"/>
        <v>0.51739166666666669</v>
      </c>
      <c r="I834" s="66">
        <f>(C840-C834)/(D834/1000)</f>
        <v>1.374683684854302</v>
      </c>
    </row>
    <row r="835" spans="1:9" x14ac:dyDescent="0.3">
      <c r="A835" s="33">
        <v>45995.488541666666</v>
      </c>
      <c r="B835" s="34">
        <v>8340</v>
      </c>
      <c r="C835" s="34">
        <v>1.1213</v>
      </c>
      <c r="D835" s="34">
        <v>0</v>
      </c>
      <c r="E835" s="34">
        <v>0</v>
      </c>
      <c r="F835" s="34">
        <v>1</v>
      </c>
      <c r="G835" s="59">
        <f t="shared" si="24"/>
        <v>0.38776597222222225</v>
      </c>
      <c r="H835" s="63">
        <f t="shared" si="25"/>
        <v>0.25851064814814817</v>
      </c>
      <c r="I835" s="65"/>
    </row>
    <row r="836" spans="1:9" x14ac:dyDescent="0.3">
      <c r="A836" s="33">
        <v>45995.488657407404</v>
      </c>
      <c r="B836" s="34">
        <v>8350</v>
      </c>
      <c r="C836" s="34">
        <v>1.1499999999999999</v>
      </c>
      <c r="D836" s="34">
        <v>0</v>
      </c>
      <c r="E836" s="34">
        <v>0</v>
      </c>
      <c r="F836" s="34">
        <v>1</v>
      </c>
      <c r="G836" s="59">
        <f t="shared" si="24"/>
        <v>0</v>
      </c>
      <c r="H836" s="63">
        <f t="shared" si="25"/>
        <v>0</v>
      </c>
      <c r="I836" s="65"/>
    </row>
    <row r="837" spans="1:9" x14ac:dyDescent="0.3">
      <c r="A837" s="33">
        <v>45995.48877314815</v>
      </c>
      <c r="B837" s="34">
        <v>8360</v>
      </c>
      <c r="C837" s="34">
        <v>1.1625000000000001</v>
      </c>
      <c r="D837" s="34">
        <v>0</v>
      </c>
      <c r="E837" s="34">
        <v>0</v>
      </c>
      <c r="F837" s="34">
        <v>1</v>
      </c>
      <c r="G837" s="59">
        <f t="shared" si="24"/>
        <v>0</v>
      </c>
      <c r="H837" s="63">
        <f t="shared" si="25"/>
        <v>0</v>
      </c>
      <c r="I837" s="65"/>
    </row>
    <row r="838" spans="1:9" x14ac:dyDescent="0.3">
      <c r="A838" s="33">
        <v>45995.488888888889</v>
      </c>
      <c r="B838" s="34">
        <v>8370</v>
      </c>
      <c r="C838" s="34">
        <v>1.1712</v>
      </c>
      <c r="D838" s="34">
        <v>0</v>
      </c>
      <c r="E838" s="34">
        <v>0</v>
      </c>
      <c r="F838" s="34">
        <v>1</v>
      </c>
      <c r="G838" s="59">
        <f t="shared" si="24"/>
        <v>0</v>
      </c>
      <c r="H838" s="63">
        <f t="shared" si="25"/>
        <v>0</v>
      </c>
      <c r="I838" s="65"/>
    </row>
    <row r="839" spans="1:9" x14ac:dyDescent="0.3">
      <c r="A839" s="33">
        <v>45995.489016203705</v>
      </c>
      <c r="B839" s="34">
        <v>8380</v>
      </c>
      <c r="C839" s="34">
        <v>1.175</v>
      </c>
      <c r="D839" s="34">
        <v>0</v>
      </c>
      <c r="E839" s="34">
        <v>0</v>
      </c>
      <c r="F839" s="34">
        <v>1</v>
      </c>
      <c r="G839" s="59">
        <f t="shared" si="24"/>
        <v>0</v>
      </c>
      <c r="H839" s="63">
        <f t="shared" si="25"/>
        <v>0</v>
      </c>
      <c r="I839" s="65"/>
    </row>
    <row r="840" spans="1:9" x14ac:dyDescent="0.3">
      <c r="A840" s="33">
        <v>45995.489131944443</v>
      </c>
      <c r="B840" s="34">
        <v>8390</v>
      </c>
      <c r="C840" s="34">
        <v>1.18</v>
      </c>
      <c r="D840" s="34">
        <v>0</v>
      </c>
      <c r="E840" s="34">
        <v>0</v>
      </c>
      <c r="F840" s="34">
        <v>1</v>
      </c>
      <c r="G840" s="59">
        <f t="shared" si="24"/>
        <v>0</v>
      </c>
      <c r="H840" s="63">
        <f t="shared" si="25"/>
        <v>0.27679712962962966</v>
      </c>
      <c r="I840" s="65"/>
    </row>
    <row r="841" spans="1:9" x14ac:dyDescent="0.3">
      <c r="A841" s="33">
        <v>45995.489247685182</v>
      </c>
      <c r="B841" s="34">
        <v>8400</v>
      </c>
      <c r="C841" s="34">
        <v>0.85370000000000001</v>
      </c>
      <c r="D841" s="34">
        <v>298.9409</v>
      </c>
      <c r="E841" s="34">
        <v>255.6172</v>
      </c>
      <c r="F841" s="34">
        <v>0</v>
      </c>
      <c r="G841" s="59">
        <f t="shared" si="24"/>
        <v>0.41519569444444449</v>
      </c>
      <c r="H841" s="63">
        <f t="shared" si="25"/>
        <v>0.54498333333333338</v>
      </c>
      <c r="I841" s="66">
        <f>(C840-C841)/(D841/1000)</f>
        <v>1.091520096447157</v>
      </c>
    </row>
    <row r="842" spans="1:9" x14ac:dyDescent="0.3">
      <c r="A842" s="33">
        <v>45995.489363425928</v>
      </c>
      <c r="B842" s="34">
        <v>8410</v>
      </c>
      <c r="C842" s="34">
        <v>0.82620000000000005</v>
      </c>
      <c r="D842" s="34">
        <v>289.64109999999999</v>
      </c>
      <c r="E842" s="34">
        <v>239.36769000000001</v>
      </c>
      <c r="F842" s="34">
        <v>0</v>
      </c>
      <c r="G842" s="59">
        <f t="shared" ref="G842:G905" si="26">($B$2/3600)*((D842+D841)/2)</f>
        <v>0.81747500000000006</v>
      </c>
      <c r="H842" s="63">
        <f t="shared" ref="H842:H905" si="27">($B$2/3600)*(D841/3+D842/3+D843/3)</f>
        <v>0.80974379629629634</v>
      </c>
      <c r="I842" s="65"/>
    </row>
    <row r="843" spans="1:9" x14ac:dyDescent="0.3">
      <c r="A843" s="33">
        <v>45995.489479166667</v>
      </c>
      <c r="B843" s="34">
        <v>8420</v>
      </c>
      <c r="C843" s="34">
        <v>0.81369999999999998</v>
      </c>
      <c r="D843" s="34">
        <v>285.94130000000001</v>
      </c>
      <c r="E843" s="34">
        <v>232.49289999999999</v>
      </c>
      <c r="F843" s="34">
        <v>0</v>
      </c>
      <c r="G843" s="59">
        <f t="shared" si="26"/>
        <v>0.79942000000000002</v>
      </c>
      <c r="H843" s="63">
        <f t="shared" si="27"/>
        <v>0.79564694444444439</v>
      </c>
      <c r="I843" s="65"/>
    </row>
    <row r="844" spans="1:9" x14ac:dyDescent="0.3">
      <c r="A844" s="33">
        <v>45995.489594907405</v>
      </c>
      <c r="B844" s="34">
        <v>8430</v>
      </c>
      <c r="C844" s="34">
        <v>0.8075</v>
      </c>
      <c r="D844" s="34">
        <v>283.71629999999999</v>
      </c>
      <c r="E844" s="34">
        <v>228.74301</v>
      </c>
      <c r="F844" s="34">
        <v>0</v>
      </c>
      <c r="G844" s="59">
        <f t="shared" si="26"/>
        <v>0.79119111111111118</v>
      </c>
      <c r="H844" s="63">
        <f t="shared" si="27"/>
        <v>0.78877222222222221</v>
      </c>
      <c r="I844" s="65"/>
    </row>
    <row r="845" spans="1:9" x14ac:dyDescent="0.3">
      <c r="A845" s="33">
        <v>45995.489710648151</v>
      </c>
      <c r="B845" s="34">
        <v>8440</v>
      </c>
      <c r="C845" s="34">
        <v>0.80249999999999999</v>
      </c>
      <c r="D845" s="34">
        <v>282.21640000000002</v>
      </c>
      <c r="E845" s="34">
        <v>226.2431</v>
      </c>
      <c r="F845" s="34">
        <v>0</v>
      </c>
      <c r="G845" s="59">
        <f t="shared" si="26"/>
        <v>0.78601763888888898</v>
      </c>
      <c r="H845" s="63">
        <f t="shared" si="27"/>
        <v>0.78430472222222225</v>
      </c>
      <c r="I845" s="65"/>
    </row>
    <row r="846" spans="1:9" x14ac:dyDescent="0.3">
      <c r="A846" s="33">
        <v>45995.48982638889</v>
      </c>
      <c r="B846" s="34">
        <v>8450</v>
      </c>
      <c r="C846" s="34">
        <v>0.80249999999999999</v>
      </c>
      <c r="D846" s="34">
        <v>281.1164</v>
      </c>
      <c r="E846" s="34">
        <v>224.99313000000001</v>
      </c>
      <c r="F846" s="34">
        <v>0</v>
      </c>
      <c r="G846" s="59">
        <f t="shared" si="26"/>
        <v>0.78240666666666669</v>
      </c>
      <c r="H846" s="63">
        <f t="shared" si="27"/>
        <v>0.78113351851851864</v>
      </c>
      <c r="I846" s="65"/>
    </row>
    <row r="847" spans="1:9" x14ac:dyDescent="0.3">
      <c r="A847" s="33">
        <v>45995.489942129629</v>
      </c>
      <c r="B847" s="34">
        <v>8460</v>
      </c>
      <c r="C847" s="34">
        <v>0.79500000000000004</v>
      </c>
      <c r="D847" s="34">
        <v>280.29140000000001</v>
      </c>
      <c r="E847" s="34">
        <v>223.11819</v>
      </c>
      <c r="F847" s="34">
        <v>0</v>
      </c>
      <c r="G847" s="59">
        <f t="shared" si="26"/>
        <v>0.7797330555555555</v>
      </c>
      <c r="H847" s="63">
        <f t="shared" si="27"/>
        <v>0.77867990740740745</v>
      </c>
      <c r="I847" s="65"/>
    </row>
    <row r="848" spans="1:9" x14ac:dyDescent="0.3">
      <c r="A848" s="33">
        <v>45995.490057870367</v>
      </c>
      <c r="B848" s="34">
        <v>8470</v>
      </c>
      <c r="C848" s="34">
        <v>0.79620000000000002</v>
      </c>
      <c r="D848" s="34">
        <v>279.56650000000002</v>
      </c>
      <c r="E848" s="34">
        <v>222.49321</v>
      </c>
      <c r="F848" s="34">
        <v>0</v>
      </c>
      <c r="G848" s="59">
        <f t="shared" si="26"/>
        <v>0.77758041666666666</v>
      </c>
      <c r="H848" s="63">
        <f t="shared" si="27"/>
        <v>0.77666611111111117</v>
      </c>
      <c r="I848" s="65"/>
    </row>
    <row r="849" spans="1:9" x14ac:dyDescent="0.3">
      <c r="A849" s="33">
        <v>45995.490173611113</v>
      </c>
      <c r="B849" s="34">
        <v>8480</v>
      </c>
      <c r="C849" s="34">
        <v>0.79369999999999996</v>
      </c>
      <c r="D849" s="34">
        <v>278.94150000000002</v>
      </c>
      <c r="E849" s="34">
        <v>221.24325999999999</v>
      </c>
      <c r="F849" s="34">
        <v>0</v>
      </c>
      <c r="G849" s="59">
        <f t="shared" si="26"/>
        <v>0.77570555555555565</v>
      </c>
      <c r="H849" s="63">
        <f t="shared" si="27"/>
        <v>0.77490694444444441</v>
      </c>
      <c r="I849" s="65"/>
    </row>
    <row r="850" spans="1:9" x14ac:dyDescent="0.3">
      <c r="A850" s="33">
        <v>45995.490289351852</v>
      </c>
      <c r="B850" s="34">
        <v>8490</v>
      </c>
      <c r="C850" s="34">
        <v>0.79249999999999998</v>
      </c>
      <c r="D850" s="34">
        <v>278.39150000000001</v>
      </c>
      <c r="E850" s="34">
        <v>219.99329</v>
      </c>
      <c r="F850" s="34">
        <v>0</v>
      </c>
      <c r="G850" s="59">
        <f t="shared" si="26"/>
        <v>0.77407361111111128</v>
      </c>
      <c r="H850" s="63">
        <f t="shared" si="27"/>
        <v>0.77333287037037035</v>
      </c>
      <c r="I850" s="65"/>
    </row>
    <row r="851" spans="1:9" x14ac:dyDescent="0.3">
      <c r="A851" s="33">
        <v>45995.490405092591</v>
      </c>
      <c r="B851" s="34">
        <v>8500</v>
      </c>
      <c r="C851" s="34">
        <v>0.79</v>
      </c>
      <c r="D851" s="34">
        <v>277.86649999999997</v>
      </c>
      <c r="E851" s="34">
        <v>219.3683</v>
      </c>
      <c r="F851" s="34">
        <v>0</v>
      </c>
      <c r="G851" s="59">
        <f t="shared" si="26"/>
        <v>0.7725805555555556</v>
      </c>
      <c r="H851" s="63">
        <f t="shared" si="27"/>
        <v>0.77182824074074075</v>
      </c>
      <c r="I851" s="65"/>
    </row>
    <row r="852" spans="1:9" x14ac:dyDescent="0.3">
      <c r="A852" s="33">
        <v>45995.490520833337</v>
      </c>
      <c r="B852" s="34">
        <v>8510</v>
      </c>
      <c r="C852" s="34">
        <v>0.79</v>
      </c>
      <c r="D852" s="34">
        <v>277.31650000000002</v>
      </c>
      <c r="E852" s="34">
        <v>219.3683</v>
      </c>
      <c r="F852" s="34">
        <v>0</v>
      </c>
      <c r="G852" s="59">
        <f t="shared" si="26"/>
        <v>0.77108750000000004</v>
      </c>
      <c r="H852" s="63">
        <f t="shared" si="27"/>
        <v>0.77034675925925922</v>
      </c>
      <c r="I852" s="65"/>
    </row>
    <row r="853" spans="1:9" x14ac:dyDescent="0.3">
      <c r="A853" s="33">
        <v>45995.490636574075</v>
      </c>
      <c r="B853" s="34">
        <v>8520</v>
      </c>
      <c r="C853" s="34">
        <v>0.78869999999999996</v>
      </c>
      <c r="D853" s="34">
        <v>276.79149999999998</v>
      </c>
      <c r="E853" s="34">
        <v>218.11834999999999</v>
      </c>
      <c r="F853" s="34">
        <v>0</v>
      </c>
      <c r="G853" s="59">
        <f t="shared" si="26"/>
        <v>0.76959444444444436</v>
      </c>
      <c r="H853" s="63">
        <f t="shared" si="27"/>
        <v>0.76888851851851858</v>
      </c>
      <c r="I853" s="65"/>
    </row>
    <row r="854" spans="1:9" x14ac:dyDescent="0.3">
      <c r="A854" s="33">
        <v>45995.490752314814</v>
      </c>
      <c r="B854" s="34">
        <v>8530</v>
      </c>
      <c r="C854" s="34">
        <v>0.78620000000000001</v>
      </c>
      <c r="D854" s="34">
        <v>276.29160000000002</v>
      </c>
      <c r="E854" s="34">
        <v>216.86838</v>
      </c>
      <c r="F854" s="34">
        <v>0</v>
      </c>
      <c r="G854" s="59">
        <f t="shared" si="26"/>
        <v>0.7681709722222223</v>
      </c>
      <c r="H854" s="63">
        <f t="shared" si="27"/>
        <v>0.7674765740740741</v>
      </c>
      <c r="I854" s="65"/>
    </row>
    <row r="855" spans="1:9" x14ac:dyDescent="0.3">
      <c r="A855" s="33">
        <v>45995.490868055553</v>
      </c>
      <c r="B855" s="34">
        <v>8540</v>
      </c>
      <c r="C855" s="34">
        <v>0.78369999999999995</v>
      </c>
      <c r="D855" s="34">
        <v>275.79160000000002</v>
      </c>
      <c r="E855" s="34">
        <v>216.24341000000001</v>
      </c>
      <c r="F855" s="34">
        <v>0</v>
      </c>
      <c r="G855" s="59">
        <f t="shared" si="26"/>
        <v>0.76678222222222225</v>
      </c>
      <c r="H855" s="63">
        <f t="shared" si="27"/>
        <v>0.766110925925926</v>
      </c>
      <c r="I855" s="65"/>
    </row>
    <row r="856" spans="1:9" x14ac:dyDescent="0.3">
      <c r="A856" s="33">
        <v>45995.490983796299</v>
      </c>
      <c r="B856" s="34">
        <v>8550</v>
      </c>
      <c r="C856" s="34">
        <v>0.78249999999999997</v>
      </c>
      <c r="D856" s="34">
        <v>275.31659999999999</v>
      </c>
      <c r="E856" s="34">
        <v>215.61841999999999</v>
      </c>
      <c r="F856" s="34">
        <v>0</v>
      </c>
      <c r="G856" s="59">
        <f t="shared" si="26"/>
        <v>0.7654280555555556</v>
      </c>
      <c r="H856" s="63">
        <f t="shared" si="27"/>
        <v>0.76474518518518519</v>
      </c>
      <c r="I856" s="65"/>
    </row>
    <row r="857" spans="1:9" x14ac:dyDescent="0.3">
      <c r="A857" s="33">
        <v>45995.491099537037</v>
      </c>
      <c r="B857" s="34">
        <v>8560</v>
      </c>
      <c r="C857" s="34">
        <v>0.78129999999999999</v>
      </c>
      <c r="D857" s="34">
        <v>274.81659999999999</v>
      </c>
      <c r="E857" s="34">
        <v>214.99343999999999</v>
      </c>
      <c r="F857" s="34">
        <v>0</v>
      </c>
      <c r="G857" s="59">
        <f t="shared" si="26"/>
        <v>0.76407388888888894</v>
      </c>
      <c r="H857" s="63">
        <f t="shared" si="27"/>
        <v>0.76342574074074077</v>
      </c>
      <c r="I857" s="65"/>
    </row>
    <row r="858" spans="1:9" x14ac:dyDescent="0.3">
      <c r="A858" s="33">
        <v>45995.491215277776</v>
      </c>
      <c r="B858" s="34">
        <v>8570</v>
      </c>
      <c r="C858" s="34">
        <v>0.78129999999999999</v>
      </c>
      <c r="D858" s="34">
        <v>274.36660000000001</v>
      </c>
      <c r="E858" s="34">
        <v>213.74347</v>
      </c>
      <c r="F858" s="34">
        <v>0</v>
      </c>
      <c r="G858" s="59">
        <f t="shared" si="26"/>
        <v>0.7627544444444444</v>
      </c>
      <c r="H858" s="63">
        <f t="shared" si="27"/>
        <v>0.50850296296296293</v>
      </c>
      <c r="I858" s="66">
        <f>(C864-C858)/(D858/1000)</f>
        <v>1.4302032390239918</v>
      </c>
    </row>
    <row r="859" spans="1:9" x14ac:dyDescent="0.3">
      <c r="A859" s="33">
        <v>45995.491331018522</v>
      </c>
      <c r="B859" s="34">
        <v>8580</v>
      </c>
      <c r="C859" s="34">
        <v>1.1062000000000001</v>
      </c>
      <c r="D859" s="34">
        <v>0</v>
      </c>
      <c r="E859" s="34">
        <v>0</v>
      </c>
      <c r="F859" s="34">
        <v>1</v>
      </c>
      <c r="G859" s="59">
        <f t="shared" si="26"/>
        <v>0.38106472222222226</v>
      </c>
      <c r="H859" s="63">
        <f t="shared" si="27"/>
        <v>0.25404314814814816</v>
      </c>
      <c r="I859" s="65"/>
    </row>
    <row r="860" spans="1:9" x14ac:dyDescent="0.3">
      <c r="A860" s="33">
        <v>45995.491446759261</v>
      </c>
      <c r="B860" s="34">
        <v>8590</v>
      </c>
      <c r="C860" s="34">
        <v>1.1399999999999999</v>
      </c>
      <c r="D860" s="34">
        <v>0</v>
      </c>
      <c r="E860" s="34">
        <v>0</v>
      </c>
      <c r="F860" s="34">
        <v>1</v>
      </c>
      <c r="G860" s="59">
        <f t="shared" si="26"/>
        <v>0</v>
      </c>
      <c r="H860" s="63">
        <f t="shared" si="27"/>
        <v>0</v>
      </c>
      <c r="I860" s="65"/>
    </row>
    <row r="861" spans="1:9" x14ac:dyDescent="0.3">
      <c r="A861" s="33">
        <v>45995.491562499999</v>
      </c>
      <c r="B861" s="34">
        <v>8600</v>
      </c>
      <c r="C861" s="34">
        <v>1.1587000000000001</v>
      </c>
      <c r="D861" s="34">
        <v>0</v>
      </c>
      <c r="E861" s="34">
        <v>0</v>
      </c>
      <c r="F861" s="34">
        <v>1</v>
      </c>
      <c r="G861" s="59">
        <f t="shared" si="26"/>
        <v>0</v>
      </c>
      <c r="H861" s="63">
        <f t="shared" si="27"/>
        <v>0</v>
      </c>
      <c r="I861" s="65"/>
    </row>
    <row r="862" spans="1:9" x14ac:dyDescent="0.3">
      <c r="A862" s="33">
        <v>45995.491678240738</v>
      </c>
      <c r="B862" s="34">
        <v>8610</v>
      </c>
      <c r="C862" s="34">
        <v>1.1637</v>
      </c>
      <c r="D862" s="34">
        <v>0</v>
      </c>
      <c r="E862" s="34">
        <v>0</v>
      </c>
      <c r="F862" s="34">
        <v>1</v>
      </c>
      <c r="G862" s="59">
        <f t="shared" si="26"/>
        <v>0</v>
      </c>
      <c r="H862" s="63">
        <f t="shared" si="27"/>
        <v>0</v>
      </c>
      <c r="I862" s="65"/>
    </row>
    <row r="863" spans="1:9" x14ac:dyDescent="0.3">
      <c r="A863" s="33">
        <v>45995.491793981484</v>
      </c>
      <c r="B863" s="34">
        <v>8620</v>
      </c>
      <c r="C863" s="34">
        <v>1.1687000000000001</v>
      </c>
      <c r="D863" s="34">
        <v>0</v>
      </c>
      <c r="E863" s="34">
        <v>0</v>
      </c>
      <c r="F863" s="34">
        <v>1</v>
      </c>
      <c r="G863" s="59">
        <f t="shared" si="26"/>
        <v>0</v>
      </c>
      <c r="H863" s="63">
        <f t="shared" si="27"/>
        <v>0</v>
      </c>
      <c r="I863" s="65"/>
    </row>
    <row r="864" spans="1:9" x14ac:dyDescent="0.3">
      <c r="A864" s="33">
        <v>45995.491909722223</v>
      </c>
      <c r="B864" s="34">
        <v>8630</v>
      </c>
      <c r="C864" s="34">
        <v>1.1737</v>
      </c>
      <c r="D864" s="34">
        <v>0</v>
      </c>
      <c r="E864" s="34">
        <v>0</v>
      </c>
      <c r="F864" s="34">
        <v>1</v>
      </c>
      <c r="G864" s="59">
        <f t="shared" si="26"/>
        <v>0</v>
      </c>
      <c r="H864" s="63">
        <f t="shared" si="27"/>
        <v>0.27438972222222224</v>
      </c>
      <c r="I864" s="65"/>
    </row>
    <row r="865" spans="1:9" x14ac:dyDescent="0.3">
      <c r="A865" s="33">
        <v>45995.492025462961</v>
      </c>
      <c r="B865" s="34">
        <v>8640</v>
      </c>
      <c r="C865" s="34">
        <v>0.84619999999999995</v>
      </c>
      <c r="D865" s="34">
        <v>296.34089999999998</v>
      </c>
      <c r="E865" s="34">
        <v>250.61735999999999</v>
      </c>
      <c r="F865" s="34">
        <v>0</v>
      </c>
      <c r="G865" s="59">
        <f t="shared" si="26"/>
        <v>0.41158458333333331</v>
      </c>
      <c r="H865" s="63">
        <f t="shared" si="27"/>
        <v>0.53959000000000001</v>
      </c>
      <c r="I865" s="66">
        <f>(C864-C865)/(D865/1000)</f>
        <v>1.1051461340638435</v>
      </c>
    </row>
    <row r="866" spans="1:9" x14ac:dyDescent="0.3">
      <c r="A866" s="33">
        <v>45995.4921412037</v>
      </c>
      <c r="B866" s="34">
        <v>8650</v>
      </c>
      <c r="C866" s="34">
        <v>0.81620000000000004</v>
      </c>
      <c r="D866" s="34">
        <v>286.41629999999998</v>
      </c>
      <c r="E866" s="34">
        <v>233.74286000000001</v>
      </c>
      <c r="F866" s="34">
        <v>0</v>
      </c>
      <c r="G866" s="59">
        <f t="shared" si="26"/>
        <v>0.80938500000000002</v>
      </c>
      <c r="H866" s="63">
        <f t="shared" si="27"/>
        <v>0.8008088888888889</v>
      </c>
      <c r="I866" s="65"/>
    </row>
    <row r="867" spans="1:9" x14ac:dyDescent="0.3">
      <c r="A867" s="33">
        <v>45995.492256944446</v>
      </c>
      <c r="B867" s="34">
        <v>8660</v>
      </c>
      <c r="C867" s="34">
        <v>0.80120000000000002</v>
      </c>
      <c r="D867" s="34">
        <v>282.1164</v>
      </c>
      <c r="E867" s="34">
        <v>226.2431</v>
      </c>
      <c r="F867" s="34">
        <v>0</v>
      </c>
      <c r="G867" s="59">
        <f t="shared" si="26"/>
        <v>0.78962874999999999</v>
      </c>
      <c r="H867" s="63">
        <f t="shared" si="27"/>
        <v>0.78525388888888892</v>
      </c>
      <c r="I867" s="65"/>
    </row>
    <row r="868" spans="1:9" x14ac:dyDescent="0.3">
      <c r="A868" s="33">
        <v>45995.492372685185</v>
      </c>
      <c r="B868" s="34">
        <v>8670</v>
      </c>
      <c r="C868" s="34">
        <v>0.79620000000000002</v>
      </c>
      <c r="D868" s="34">
        <v>279.54149999999998</v>
      </c>
      <c r="E868" s="34">
        <v>222.49321</v>
      </c>
      <c r="F868" s="34">
        <v>0</v>
      </c>
      <c r="G868" s="59">
        <f t="shared" si="26"/>
        <v>0.78008041666666661</v>
      </c>
      <c r="H868" s="63">
        <f t="shared" si="27"/>
        <v>0.77722166666666659</v>
      </c>
      <c r="I868" s="65"/>
    </row>
    <row r="869" spans="1:9" x14ac:dyDescent="0.3">
      <c r="A869" s="33">
        <v>45995.492488425924</v>
      </c>
      <c r="B869" s="34">
        <v>8680</v>
      </c>
      <c r="C869" s="34">
        <v>0.79</v>
      </c>
      <c r="D869" s="34">
        <v>277.74149999999997</v>
      </c>
      <c r="E869" s="34">
        <v>219.3683</v>
      </c>
      <c r="F869" s="34">
        <v>0</v>
      </c>
      <c r="G869" s="59">
        <f t="shared" si="26"/>
        <v>0.7740041666666666</v>
      </c>
      <c r="H869" s="63">
        <f t="shared" si="27"/>
        <v>0.77194407407407406</v>
      </c>
      <c r="I869" s="65"/>
    </row>
    <row r="870" spans="1:9" x14ac:dyDescent="0.3">
      <c r="A870" s="33">
        <v>45995.492604166669</v>
      </c>
      <c r="B870" s="34">
        <v>8690</v>
      </c>
      <c r="C870" s="34">
        <v>0.78620000000000001</v>
      </c>
      <c r="D870" s="34">
        <v>276.41660000000002</v>
      </c>
      <c r="E870" s="34">
        <v>216.86838</v>
      </c>
      <c r="F870" s="34">
        <v>0</v>
      </c>
      <c r="G870" s="59">
        <f t="shared" si="26"/>
        <v>0.76966402777777776</v>
      </c>
      <c r="H870" s="63">
        <f t="shared" si="27"/>
        <v>0.76805527777777771</v>
      </c>
      <c r="I870" s="65"/>
    </row>
    <row r="871" spans="1:9" x14ac:dyDescent="0.3">
      <c r="A871" s="33">
        <v>45995.492719907408</v>
      </c>
      <c r="B871" s="34">
        <v>8700</v>
      </c>
      <c r="C871" s="34">
        <v>0.78369999999999995</v>
      </c>
      <c r="D871" s="34">
        <v>275.34160000000003</v>
      </c>
      <c r="E871" s="34">
        <v>215.61841999999999</v>
      </c>
      <c r="F871" s="34">
        <v>0</v>
      </c>
      <c r="G871" s="59">
        <f t="shared" si="26"/>
        <v>0.76633083333333329</v>
      </c>
      <c r="H871" s="63">
        <f t="shared" si="27"/>
        <v>0.76506925925925928</v>
      </c>
      <c r="I871" s="65"/>
    </row>
    <row r="872" spans="1:9" x14ac:dyDescent="0.3">
      <c r="A872" s="33">
        <v>45995.492835648147</v>
      </c>
      <c r="B872" s="34">
        <v>8710</v>
      </c>
      <c r="C872" s="34">
        <v>0.78</v>
      </c>
      <c r="D872" s="34">
        <v>274.51659999999998</v>
      </c>
      <c r="E872" s="34">
        <v>213.74347</v>
      </c>
      <c r="F872" s="34">
        <v>0</v>
      </c>
      <c r="G872" s="59">
        <f t="shared" si="26"/>
        <v>0.76369194444444444</v>
      </c>
      <c r="H872" s="63">
        <f t="shared" si="27"/>
        <v>0.76263870370370379</v>
      </c>
      <c r="I872" s="65"/>
    </row>
    <row r="873" spans="1:9" x14ac:dyDescent="0.3">
      <c r="A873" s="33">
        <v>45995.492951388886</v>
      </c>
      <c r="B873" s="34">
        <v>8720</v>
      </c>
      <c r="C873" s="34">
        <v>0.77880000000000005</v>
      </c>
      <c r="D873" s="34">
        <v>273.79160000000002</v>
      </c>
      <c r="E873" s="34">
        <v>213.11850000000001</v>
      </c>
      <c r="F873" s="34">
        <v>0</v>
      </c>
      <c r="G873" s="59">
        <f t="shared" si="26"/>
        <v>0.76153916666666666</v>
      </c>
      <c r="H873" s="63">
        <f t="shared" si="27"/>
        <v>0.76057861111111125</v>
      </c>
      <c r="I873" s="65"/>
    </row>
    <row r="874" spans="1:9" x14ac:dyDescent="0.3">
      <c r="A874" s="33">
        <v>45995.493067129632</v>
      </c>
      <c r="B874" s="34">
        <v>8730</v>
      </c>
      <c r="C874" s="34">
        <v>0.77629999999999999</v>
      </c>
      <c r="D874" s="34">
        <v>273.11669999999998</v>
      </c>
      <c r="E874" s="34">
        <v>211.86852999999999</v>
      </c>
      <c r="F874" s="34">
        <v>0</v>
      </c>
      <c r="G874" s="59">
        <f t="shared" si="26"/>
        <v>0.75959486111111119</v>
      </c>
      <c r="H874" s="63">
        <f t="shared" si="27"/>
        <v>0.75872685185185196</v>
      </c>
      <c r="I874" s="65"/>
    </row>
    <row r="875" spans="1:9" x14ac:dyDescent="0.3">
      <c r="A875" s="33">
        <v>45995.49318287037</v>
      </c>
      <c r="B875" s="34">
        <v>8740</v>
      </c>
      <c r="C875" s="34">
        <v>0.77380000000000004</v>
      </c>
      <c r="D875" s="34">
        <v>272.51670000000001</v>
      </c>
      <c r="E875" s="34">
        <v>211.24356</v>
      </c>
      <c r="F875" s="34">
        <v>0</v>
      </c>
      <c r="G875" s="59">
        <f t="shared" si="26"/>
        <v>0.75782416666666663</v>
      </c>
      <c r="H875" s="63">
        <f t="shared" si="27"/>
        <v>0.75703712962962966</v>
      </c>
      <c r="I875" s="65"/>
    </row>
    <row r="876" spans="1:9" x14ac:dyDescent="0.3">
      <c r="A876" s="33">
        <v>45995.493298611109</v>
      </c>
      <c r="B876" s="34">
        <v>8750</v>
      </c>
      <c r="C876" s="34">
        <v>0.77249999999999996</v>
      </c>
      <c r="D876" s="34">
        <v>271.9667</v>
      </c>
      <c r="E876" s="34">
        <v>209.99359000000001</v>
      </c>
      <c r="F876" s="34">
        <v>0</v>
      </c>
      <c r="G876" s="59">
        <f t="shared" si="26"/>
        <v>0.7562269444444446</v>
      </c>
      <c r="H876" s="63">
        <f t="shared" si="27"/>
        <v>0.75555564814814824</v>
      </c>
      <c r="I876" s="65"/>
    </row>
    <row r="877" spans="1:9" x14ac:dyDescent="0.3">
      <c r="A877" s="33">
        <v>45995.493414351855</v>
      </c>
      <c r="B877" s="34">
        <v>8760</v>
      </c>
      <c r="C877" s="34">
        <v>0.77129999999999999</v>
      </c>
      <c r="D877" s="34">
        <v>271.51670000000001</v>
      </c>
      <c r="E877" s="34">
        <v>208.74361999999999</v>
      </c>
      <c r="F877" s="34">
        <v>0</v>
      </c>
      <c r="G877" s="59">
        <f t="shared" si="26"/>
        <v>0.75483805555555572</v>
      </c>
      <c r="H877" s="63">
        <f t="shared" si="27"/>
        <v>0.75405101851851852</v>
      </c>
      <c r="I877" s="65"/>
    </row>
    <row r="878" spans="1:9" x14ac:dyDescent="0.3">
      <c r="A878" s="33">
        <v>45995.493530092594</v>
      </c>
      <c r="B878" s="34">
        <v>8770</v>
      </c>
      <c r="C878" s="34">
        <v>0.77</v>
      </c>
      <c r="D878" s="34">
        <v>270.89170000000001</v>
      </c>
      <c r="E878" s="34">
        <v>208.74361999999999</v>
      </c>
      <c r="F878" s="34">
        <v>0</v>
      </c>
      <c r="G878" s="59">
        <f t="shared" si="26"/>
        <v>0.75334500000000004</v>
      </c>
      <c r="H878" s="63">
        <f t="shared" si="27"/>
        <v>0.75243064814814808</v>
      </c>
      <c r="I878" s="65"/>
    </row>
    <row r="879" spans="1:9" x14ac:dyDescent="0.3">
      <c r="A879" s="33">
        <v>45995.493645833332</v>
      </c>
      <c r="B879" s="34">
        <v>8780</v>
      </c>
      <c r="C879" s="34">
        <v>0.76749999999999996</v>
      </c>
      <c r="D879" s="34">
        <v>270.2167</v>
      </c>
      <c r="E879" s="34">
        <v>206.86868000000001</v>
      </c>
      <c r="F879" s="34">
        <v>0</v>
      </c>
      <c r="G879" s="59">
        <f t="shared" si="26"/>
        <v>0.75153944444444454</v>
      </c>
      <c r="H879" s="63">
        <f t="shared" si="27"/>
        <v>0.75069462962962963</v>
      </c>
      <c r="I879" s="65"/>
    </row>
    <row r="880" spans="1:9" x14ac:dyDescent="0.3">
      <c r="A880" s="33">
        <v>45995.493761574071</v>
      </c>
      <c r="B880" s="34">
        <v>8790</v>
      </c>
      <c r="C880" s="34">
        <v>0.76500000000000001</v>
      </c>
      <c r="D880" s="34">
        <v>269.64179999999999</v>
      </c>
      <c r="E880" s="34">
        <v>205.61873</v>
      </c>
      <c r="F880" s="34">
        <v>0</v>
      </c>
      <c r="G880" s="59">
        <f t="shared" si="26"/>
        <v>0.74980347222222232</v>
      </c>
      <c r="H880" s="63">
        <f t="shared" si="27"/>
        <v>0.74895861111111106</v>
      </c>
      <c r="I880" s="65"/>
    </row>
    <row r="881" spans="1:9" x14ac:dyDescent="0.3">
      <c r="A881" s="33">
        <v>45995.493877314817</v>
      </c>
      <c r="B881" s="34">
        <v>8800</v>
      </c>
      <c r="C881" s="34">
        <v>0.76370000000000005</v>
      </c>
      <c r="D881" s="34">
        <v>269.01679999999999</v>
      </c>
      <c r="E881" s="34">
        <v>205.61873</v>
      </c>
      <c r="F881" s="34">
        <v>0</v>
      </c>
      <c r="G881" s="59">
        <f t="shared" si="26"/>
        <v>0.74813694444444445</v>
      </c>
      <c r="H881" s="63">
        <f t="shared" si="27"/>
        <v>0.74719944444444453</v>
      </c>
      <c r="I881" s="65"/>
    </row>
    <row r="882" spans="1:9" x14ac:dyDescent="0.3">
      <c r="A882" s="33">
        <v>45995.493993055556</v>
      </c>
      <c r="B882" s="34">
        <v>8810</v>
      </c>
      <c r="C882" s="34">
        <v>0.76119999999999999</v>
      </c>
      <c r="D882" s="34">
        <v>268.3168</v>
      </c>
      <c r="E882" s="34">
        <v>203.74377000000001</v>
      </c>
      <c r="F882" s="34">
        <v>0</v>
      </c>
      <c r="G882" s="59">
        <f t="shared" si="26"/>
        <v>0.74629666666666661</v>
      </c>
      <c r="H882" s="63">
        <f t="shared" si="27"/>
        <v>0.49753111111111115</v>
      </c>
      <c r="I882" s="66">
        <f>(C888-C882)/(D882/1000)</f>
        <v>1.5142547913511191</v>
      </c>
    </row>
    <row r="883" spans="1:9" x14ac:dyDescent="0.3">
      <c r="A883" s="33">
        <v>45995.494108796294</v>
      </c>
      <c r="B883" s="34">
        <v>8820</v>
      </c>
      <c r="C883" s="34">
        <v>1.0888</v>
      </c>
      <c r="D883" s="34">
        <v>0</v>
      </c>
      <c r="E883" s="34">
        <v>0</v>
      </c>
      <c r="F883" s="34">
        <v>1</v>
      </c>
      <c r="G883" s="59">
        <f t="shared" si="26"/>
        <v>0.37266222222222223</v>
      </c>
      <c r="H883" s="63">
        <f t="shared" si="27"/>
        <v>0.24844148148148151</v>
      </c>
      <c r="I883" s="65"/>
    </row>
    <row r="884" spans="1:9" x14ac:dyDescent="0.3">
      <c r="A884" s="33">
        <v>45995.49422453704</v>
      </c>
      <c r="B884" s="34">
        <v>8830</v>
      </c>
      <c r="C884" s="34">
        <v>1.1299999999999999</v>
      </c>
      <c r="D884" s="34">
        <v>0</v>
      </c>
      <c r="E884" s="34">
        <v>0</v>
      </c>
      <c r="F884" s="34">
        <v>1</v>
      </c>
      <c r="G884" s="59">
        <f t="shared" si="26"/>
        <v>0</v>
      </c>
      <c r="H884" s="63">
        <f t="shared" si="27"/>
        <v>0</v>
      </c>
      <c r="I884" s="65"/>
    </row>
    <row r="885" spans="1:9" x14ac:dyDescent="0.3">
      <c r="A885" s="33">
        <v>45995.494340277779</v>
      </c>
      <c r="B885" s="34">
        <v>8840</v>
      </c>
      <c r="C885" s="34">
        <v>1.1487000000000001</v>
      </c>
      <c r="D885" s="34">
        <v>0</v>
      </c>
      <c r="E885" s="34">
        <v>0</v>
      </c>
      <c r="F885" s="34">
        <v>1</v>
      </c>
      <c r="G885" s="59">
        <f t="shared" si="26"/>
        <v>0</v>
      </c>
      <c r="H885" s="63">
        <f t="shared" si="27"/>
        <v>0</v>
      </c>
      <c r="I885" s="65"/>
    </row>
    <row r="886" spans="1:9" x14ac:dyDescent="0.3">
      <c r="A886" s="33">
        <v>45995.494456018518</v>
      </c>
      <c r="B886" s="34">
        <v>8850</v>
      </c>
      <c r="C886" s="34">
        <v>1.1587000000000001</v>
      </c>
      <c r="D886" s="34">
        <v>0</v>
      </c>
      <c r="E886" s="34">
        <v>0</v>
      </c>
      <c r="F886" s="34">
        <v>1</v>
      </c>
      <c r="G886" s="59">
        <f t="shared" si="26"/>
        <v>0</v>
      </c>
      <c r="H886" s="63">
        <f t="shared" si="27"/>
        <v>0</v>
      </c>
      <c r="I886" s="65"/>
    </row>
    <row r="887" spans="1:9" x14ac:dyDescent="0.3">
      <c r="A887" s="33">
        <v>45995.494571759256</v>
      </c>
      <c r="B887" s="34">
        <v>8860</v>
      </c>
      <c r="C887" s="34">
        <v>1.1625000000000001</v>
      </c>
      <c r="D887" s="34">
        <v>0</v>
      </c>
      <c r="E887" s="34">
        <v>0</v>
      </c>
      <c r="F887" s="34">
        <v>1</v>
      </c>
      <c r="G887" s="59">
        <f t="shared" si="26"/>
        <v>0</v>
      </c>
      <c r="H887" s="63">
        <f t="shared" si="27"/>
        <v>0</v>
      </c>
      <c r="I887" s="65"/>
    </row>
    <row r="888" spans="1:9" x14ac:dyDescent="0.3">
      <c r="A888" s="33">
        <v>45995.494687500002</v>
      </c>
      <c r="B888" s="34">
        <v>8870</v>
      </c>
      <c r="C888" s="34">
        <v>1.1675</v>
      </c>
      <c r="D888" s="34">
        <v>0</v>
      </c>
      <c r="E888" s="34">
        <v>0</v>
      </c>
      <c r="F888" s="34">
        <v>1</v>
      </c>
      <c r="G888" s="59">
        <f t="shared" si="26"/>
        <v>0</v>
      </c>
      <c r="H888" s="63">
        <f t="shared" si="27"/>
        <v>0.27151944444444448</v>
      </c>
      <c r="I888" s="65"/>
    </row>
    <row r="889" spans="1:9" x14ac:dyDescent="0.3">
      <c r="A889" s="33">
        <v>45995.494803240741</v>
      </c>
      <c r="B889" s="34">
        <v>8880</v>
      </c>
      <c r="C889" s="34">
        <v>0.83750000000000002</v>
      </c>
      <c r="D889" s="34">
        <v>293.24099999999999</v>
      </c>
      <c r="E889" s="34">
        <v>245.61751000000001</v>
      </c>
      <c r="F889" s="34">
        <v>0</v>
      </c>
      <c r="G889" s="59">
        <f t="shared" si="26"/>
        <v>0.40727916666666664</v>
      </c>
      <c r="H889" s="63">
        <f t="shared" si="27"/>
        <v>0.53301611111111113</v>
      </c>
      <c r="I889" s="66">
        <f>(C888-C889)/(D889/1000)</f>
        <v>1.1253542308203832</v>
      </c>
    </row>
    <row r="890" spans="1:9" x14ac:dyDescent="0.3">
      <c r="A890" s="33">
        <v>45995.49491898148</v>
      </c>
      <c r="B890" s="34">
        <v>8890</v>
      </c>
      <c r="C890" s="34">
        <v>0.80249999999999999</v>
      </c>
      <c r="D890" s="34">
        <v>282.41640000000001</v>
      </c>
      <c r="E890" s="34">
        <v>226.86806999999999</v>
      </c>
      <c r="F890" s="34">
        <v>0</v>
      </c>
      <c r="G890" s="59">
        <f t="shared" si="26"/>
        <v>0.79952416666666681</v>
      </c>
      <c r="H890" s="63">
        <f t="shared" si="27"/>
        <v>0.78983694444444441</v>
      </c>
      <c r="I890" s="65"/>
    </row>
    <row r="891" spans="1:9" x14ac:dyDescent="0.3">
      <c r="A891" s="33">
        <v>45995.495034722226</v>
      </c>
      <c r="B891" s="34">
        <v>8900</v>
      </c>
      <c r="C891" s="34">
        <v>0.78869999999999996</v>
      </c>
      <c r="D891" s="34">
        <v>277.36649999999997</v>
      </c>
      <c r="E891" s="34">
        <v>219.3683</v>
      </c>
      <c r="F891" s="34">
        <v>0</v>
      </c>
      <c r="G891" s="59">
        <f t="shared" si="26"/>
        <v>0.77747624999999998</v>
      </c>
      <c r="H891" s="63">
        <f t="shared" si="27"/>
        <v>0.7721986111111111</v>
      </c>
      <c r="I891" s="65"/>
    </row>
    <row r="892" spans="1:9" x14ac:dyDescent="0.3">
      <c r="A892" s="33">
        <v>45995.495150462964</v>
      </c>
      <c r="B892" s="34">
        <v>8910</v>
      </c>
      <c r="C892" s="34">
        <v>0.77880000000000005</v>
      </c>
      <c r="D892" s="34">
        <v>274.19159999999999</v>
      </c>
      <c r="E892" s="34">
        <v>213.74347</v>
      </c>
      <c r="F892" s="34">
        <v>0</v>
      </c>
      <c r="G892" s="59">
        <f t="shared" si="26"/>
        <v>0.76605291666666664</v>
      </c>
      <c r="H892" s="63">
        <f t="shared" si="27"/>
        <v>0.76249981481481488</v>
      </c>
      <c r="I892" s="65"/>
    </row>
    <row r="893" spans="1:9" x14ac:dyDescent="0.3">
      <c r="A893" s="33">
        <v>45995.495266203703</v>
      </c>
      <c r="B893" s="34">
        <v>8920</v>
      </c>
      <c r="C893" s="34">
        <v>0.77249999999999996</v>
      </c>
      <c r="D893" s="34">
        <v>271.94170000000003</v>
      </c>
      <c r="E893" s="34">
        <v>209.99359000000001</v>
      </c>
      <c r="F893" s="34">
        <v>0</v>
      </c>
      <c r="G893" s="59">
        <f t="shared" si="26"/>
        <v>0.75851847222222224</v>
      </c>
      <c r="H893" s="63">
        <f t="shared" si="27"/>
        <v>0.7560879629629631</v>
      </c>
      <c r="I893" s="65"/>
    </row>
    <row r="894" spans="1:9" x14ac:dyDescent="0.3">
      <c r="A894" s="33">
        <v>45995.495381944442</v>
      </c>
      <c r="B894" s="34">
        <v>8930</v>
      </c>
      <c r="C894" s="34">
        <v>0.76880000000000004</v>
      </c>
      <c r="D894" s="34">
        <v>270.44170000000003</v>
      </c>
      <c r="E894" s="34">
        <v>208.11865</v>
      </c>
      <c r="F894" s="34">
        <v>0</v>
      </c>
      <c r="G894" s="59">
        <f t="shared" si="26"/>
        <v>0.75331027777777793</v>
      </c>
      <c r="H894" s="63">
        <f t="shared" si="27"/>
        <v>0.75141222222222237</v>
      </c>
      <c r="I894" s="65"/>
    </row>
    <row r="895" spans="1:9" x14ac:dyDescent="0.3">
      <c r="A895" s="33">
        <v>45995.495497685188</v>
      </c>
      <c r="B895" s="34">
        <v>8940</v>
      </c>
      <c r="C895" s="34">
        <v>0.76370000000000005</v>
      </c>
      <c r="D895" s="34">
        <v>269.14179999999999</v>
      </c>
      <c r="E895" s="34">
        <v>205.61873</v>
      </c>
      <c r="F895" s="34">
        <v>0</v>
      </c>
      <c r="G895" s="59">
        <f t="shared" si="26"/>
        <v>0.74942152777777771</v>
      </c>
      <c r="H895" s="63">
        <f t="shared" si="27"/>
        <v>0.74780120370370373</v>
      </c>
      <c r="I895" s="65"/>
    </row>
    <row r="896" spans="1:9" x14ac:dyDescent="0.3">
      <c r="A896" s="33">
        <v>45995.495613425926</v>
      </c>
      <c r="B896" s="34">
        <v>8950</v>
      </c>
      <c r="C896" s="34">
        <v>0.76249999999999996</v>
      </c>
      <c r="D896" s="34">
        <v>268.04180000000002</v>
      </c>
      <c r="E896" s="34">
        <v>204.36876000000001</v>
      </c>
      <c r="F896" s="34">
        <v>0</v>
      </c>
      <c r="G896" s="59">
        <f t="shared" si="26"/>
        <v>0.74608833333333346</v>
      </c>
      <c r="H896" s="63">
        <f t="shared" si="27"/>
        <v>0.74472268518518525</v>
      </c>
      <c r="I896" s="65"/>
    </row>
    <row r="897" spans="1:9" x14ac:dyDescent="0.3">
      <c r="A897" s="33">
        <v>45995.495729166665</v>
      </c>
      <c r="B897" s="34">
        <v>8960</v>
      </c>
      <c r="C897" s="34">
        <v>0.76</v>
      </c>
      <c r="D897" s="34">
        <v>267.11689999999999</v>
      </c>
      <c r="E897" s="34">
        <v>202.49382</v>
      </c>
      <c r="F897" s="34">
        <v>0</v>
      </c>
      <c r="G897" s="59">
        <f t="shared" si="26"/>
        <v>0.74327597222222219</v>
      </c>
      <c r="H897" s="63">
        <f t="shared" si="27"/>
        <v>0.7420607407407408</v>
      </c>
      <c r="I897" s="65"/>
    </row>
    <row r="898" spans="1:9" x14ac:dyDescent="0.3">
      <c r="A898" s="33">
        <v>45995.495844907404</v>
      </c>
      <c r="B898" s="34">
        <v>8970</v>
      </c>
      <c r="C898" s="34">
        <v>0.75619999999999998</v>
      </c>
      <c r="D898" s="34">
        <v>266.26690000000002</v>
      </c>
      <c r="E898" s="34">
        <v>201.24386999999999</v>
      </c>
      <c r="F898" s="34">
        <v>0</v>
      </c>
      <c r="G898" s="59">
        <f t="shared" si="26"/>
        <v>0.74081083333333342</v>
      </c>
      <c r="H898" s="63">
        <f t="shared" si="27"/>
        <v>0.7396302777777779</v>
      </c>
      <c r="I898" s="65"/>
    </row>
    <row r="899" spans="1:9" x14ac:dyDescent="0.3">
      <c r="A899" s="33">
        <v>45995.49596064815</v>
      </c>
      <c r="B899" s="34">
        <v>8980</v>
      </c>
      <c r="C899" s="34">
        <v>0.75370000000000004</v>
      </c>
      <c r="D899" s="34">
        <v>265.4169</v>
      </c>
      <c r="E899" s="34">
        <v>199.36891</v>
      </c>
      <c r="F899" s="34">
        <v>0</v>
      </c>
      <c r="G899" s="59">
        <f t="shared" si="26"/>
        <v>0.73844972222222227</v>
      </c>
      <c r="H899" s="63">
        <f t="shared" si="27"/>
        <v>0.73729231481481483</v>
      </c>
      <c r="I899" s="65"/>
    </row>
    <row r="900" spans="1:9" x14ac:dyDescent="0.3">
      <c r="A900" s="33">
        <v>45995.496076388888</v>
      </c>
      <c r="B900" s="34">
        <v>8990</v>
      </c>
      <c r="C900" s="34">
        <v>0.74870000000000003</v>
      </c>
      <c r="D900" s="34">
        <v>264.59190000000001</v>
      </c>
      <c r="E900" s="34">
        <v>198.11895999999999</v>
      </c>
      <c r="F900" s="34">
        <v>0</v>
      </c>
      <c r="G900" s="59">
        <f t="shared" si="26"/>
        <v>0.73612333333333346</v>
      </c>
      <c r="H900" s="63">
        <f t="shared" si="27"/>
        <v>0.73495435185185187</v>
      </c>
      <c r="I900" s="65"/>
    </row>
    <row r="901" spans="1:9" x14ac:dyDescent="0.3">
      <c r="A901" s="33">
        <v>45995.496192129627</v>
      </c>
      <c r="B901" s="34">
        <v>9000</v>
      </c>
      <c r="C901" s="34">
        <v>0.74870000000000003</v>
      </c>
      <c r="D901" s="34">
        <v>263.74189999999999</v>
      </c>
      <c r="E901" s="34">
        <v>197.49396999999999</v>
      </c>
      <c r="F901" s="34">
        <v>0</v>
      </c>
      <c r="G901" s="59">
        <f t="shared" si="26"/>
        <v>0.73379694444444443</v>
      </c>
      <c r="H901" s="63">
        <f t="shared" si="27"/>
        <v>0.73261648148148151</v>
      </c>
      <c r="I901" s="65"/>
    </row>
    <row r="902" spans="1:9" x14ac:dyDescent="0.3">
      <c r="A902" s="33">
        <v>45995.496307870373</v>
      </c>
      <c r="B902" s="34">
        <v>9010</v>
      </c>
      <c r="C902" s="34">
        <v>0.745</v>
      </c>
      <c r="D902" s="34">
        <v>262.892</v>
      </c>
      <c r="E902" s="34">
        <v>195.61903000000001</v>
      </c>
      <c r="F902" s="34">
        <v>0</v>
      </c>
      <c r="G902" s="59">
        <f t="shared" si="26"/>
        <v>0.73143597222222234</v>
      </c>
      <c r="H902" s="63">
        <f t="shared" si="27"/>
        <v>0.73023231481481488</v>
      </c>
      <c r="I902" s="65"/>
    </row>
    <row r="903" spans="1:9" x14ac:dyDescent="0.3">
      <c r="A903" s="33">
        <v>45995.496423611112</v>
      </c>
      <c r="B903" s="34">
        <v>9020</v>
      </c>
      <c r="C903" s="34">
        <v>0.74119999999999997</v>
      </c>
      <c r="D903" s="34">
        <v>262.017</v>
      </c>
      <c r="E903" s="34">
        <v>194.36905999999999</v>
      </c>
      <c r="F903" s="34">
        <v>0</v>
      </c>
      <c r="G903" s="59">
        <f t="shared" si="26"/>
        <v>0.7290402777777778</v>
      </c>
      <c r="H903" s="63">
        <f t="shared" si="27"/>
        <v>0.72777870370370379</v>
      </c>
      <c r="I903" s="65"/>
    </row>
    <row r="904" spans="1:9" x14ac:dyDescent="0.3">
      <c r="A904" s="33">
        <v>45995.496539351851</v>
      </c>
      <c r="B904" s="34">
        <v>9030</v>
      </c>
      <c r="C904" s="34">
        <v>0.73870000000000002</v>
      </c>
      <c r="D904" s="34">
        <v>261.09199999999998</v>
      </c>
      <c r="E904" s="34">
        <v>193.11911000000001</v>
      </c>
      <c r="F904" s="34">
        <v>0</v>
      </c>
      <c r="G904" s="59">
        <f t="shared" si="26"/>
        <v>0.72654027777777774</v>
      </c>
      <c r="H904" s="63">
        <f t="shared" si="27"/>
        <v>0.72525564814814825</v>
      </c>
      <c r="I904" s="65"/>
    </row>
    <row r="905" spans="1:9" x14ac:dyDescent="0.3">
      <c r="A905" s="33">
        <v>45995.496655092589</v>
      </c>
      <c r="B905" s="34">
        <v>9040</v>
      </c>
      <c r="C905" s="34">
        <v>0.73750000000000004</v>
      </c>
      <c r="D905" s="34">
        <v>260.1671</v>
      </c>
      <c r="E905" s="34">
        <v>191.24417</v>
      </c>
      <c r="F905" s="34">
        <v>0</v>
      </c>
      <c r="G905" s="59">
        <f t="shared" si="26"/>
        <v>0.72397097222222229</v>
      </c>
      <c r="H905" s="63">
        <f t="shared" si="27"/>
        <v>0.72266314814814825</v>
      </c>
      <c r="I905" s="65"/>
    </row>
    <row r="906" spans="1:9" x14ac:dyDescent="0.3">
      <c r="A906" s="33">
        <v>45995.496770833335</v>
      </c>
      <c r="B906" s="34">
        <v>9050</v>
      </c>
      <c r="C906" s="34">
        <v>0.73370000000000002</v>
      </c>
      <c r="D906" s="34">
        <v>259.21710000000002</v>
      </c>
      <c r="E906" s="34">
        <v>190.61919</v>
      </c>
      <c r="F906" s="34">
        <v>0</v>
      </c>
      <c r="G906" s="59">
        <f t="shared" ref="G906:G955" si="28">($B$2/3600)*((D906+D905)/2)</f>
        <v>0.72136694444444438</v>
      </c>
      <c r="H906" s="63">
        <f t="shared" ref="H906:H954" si="29">($B$2/3600)*(D905/3+D906/3+D907/3)</f>
        <v>0.48091129629629636</v>
      </c>
      <c r="I906" s="66">
        <f>(C912-C906)/(D906/1000)</f>
        <v>1.6445674301579636</v>
      </c>
    </row>
    <row r="907" spans="1:9" x14ac:dyDescent="0.3">
      <c r="A907" s="33">
        <v>45995.496886574074</v>
      </c>
      <c r="B907" s="34">
        <v>9060</v>
      </c>
      <c r="C907" s="34">
        <v>1.0638000000000001</v>
      </c>
      <c r="D907" s="34">
        <v>0</v>
      </c>
      <c r="E907" s="34">
        <v>0</v>
      </c>
      <c r="F907" s="34">
        <v>1</v>
      </c>
      <c r="G907" s="59">
        <f t="shared" si="28"/>
        <v>0.36002375000000003</v>
      </c>
      <c r="H907" s="63">
        <f t="shared" si="29"/>
        <v>0.24001583333333337</v>
      </c>
      <c r="I907" s="65"/>
    </row>
    <row r="908" spans="1:9" x14ac:dyDescent="0.3">
      <c r="A908" s="33">
        <v>45995.497002314813</v>
      </c>
      <c r="B908" s="34">
        <v>9070</v>
      </c>
      <c r="C908" s="34">
        <v>1.115</v>
      </c>
      <c r="D908" s="34">
        <v>0</v>
      </c>
      <c r="E908" s="34">
        <v>0</v>
      </c>
      <c r="F908" s="34">
        <v>1</v>
      </c>
      <c r="G908" s="59">
        <f t="shared" si="28"/>
        <v>0</v>
      </c>
      <c r="H908" s="63">
        <f t="shared" si="29"/>
        <v>0</v>
      </c>
      <c r="I908" s="65"/>
    </row>
    <row r="909" spans="1:9" x14ac:dyDescent="0.3">
      <c r="A909" s="33">
        <v>45995.497118055559</v>
      </c>
      <c r="B909" s="34">
        <v>9080</v>
      </c>
      <c r="C909" s="34">
        <v>1.1336999999999999</v>
      </c>
      <c r="D909" s="34">
        <v>0</v>
      </c>
      <c r="E909" s="34">
        <v>0</v>
      </c>
      <c r="F909" s="34">
        <v>1</v>
      </c>
      <c r="G909" s="59">
        <f t="shared" si="28"/>
        <v>0</v>
      </c>
      <c r="H909" s="63">
        <f t="shared" si="29"/>
        <v>0</v>
      </c>
      <c r="I909" s="65"/>
    </row>
    <row r="910" spans="1:9" x14ac:dyDescent="0.3">
      <c r="A910" s="33">
        <v>45995.497233796297</v>
      </c>
      <c r="B910" s="34">
        <v>9090</v>
      </c>
      <c r="C910" s="34">
        <v>1.1475</v>
      </c>
      <c r="D910" s="34">
        <v>0</v>
      </c>
      <c r="E910" s="34">
        <v>0</v>
      </c>
      <c r="F910" s="34">
        <v>1</v>
      </c>
      <c r="G910" s="59">
        <f t="shared" si="28"/>
        <v>0</v>
      </c>
      <c r="H910" s="63">
        <f t="shared" si="29"/>
        <v>0</v>
      </c>
      <c r="I910" s="65"/>
    </row>
    <row r="911" spans="1:9" x14ac:dyDescent="0.3">
      <c r="A911" s="33">
        <v>45995.497349537036</v>
      </c>
      <c r="B911" s="34">
        <v>9100</v>
      </c>
      <c r="C911" s="34">
        <v>1.155</v>
      </c>
      <c r="D911" s="34">
        <v>0</v>
      </c>
      <c r="E911" s="34">
        <v>0</v>
      </c>
      <c r="F911" s="34">
        <v>1</v>
      </c>
      <c r="G911" s="59">
        <f t="shared" si="28"/>
        <v>0</v>
      </c>
      <c r="H911" s="63">
        <f t="shared" si="29"/>
        <v>0</v>
      </c>
      <c r="I911" s="65"/>
    </row>
    <row r="912" spans="1:9" x14ac:dyDescent="0.3">
      <c r="A912" s="33">
        <v>45995.497465277775</v>
      </c>
      <c r="B912" s="34">
        <v>9110</v>
      </c>
      <c r="C912" s="34">
        <v>1.1599999999999999</v>
      </c>
      <c r="D912" s="34">
        <v>0</v>
      </c>
      <c r="E912" s="34">
        <v>0</v>
      </c>
      <c r="F912" s="34">
        <v>1</v>
      </c>
      <c r="G912" s="59">
        <f t="shared" si="28"/>
        <v>0</v>
      </c>
      <c r="H912" s="63">
        <f t="shared" si="29"/>
        <v>0.26802425925925932</v>
      </c>
      <c r="I912" s="65"/>
    </row>
    <row r="913" spans="1:9" x14ac:dyDescent="0.3">
      <c r="A913" s="33">
        <v>45995.497581018521</v>
      </c>
      <c r="B913" s="34">
        <v>9120</v>
      </c>
      <c r="C913" s="34">
        <v>0.82620000000000005</v>
      </c>
      <c r="D913" s="34">
        <v>289.46620000000001</v>
      </c>
      <c r="E913" s="34">
        <v>239.36769000000001</v>
      </c>
      <c r="F913" s="34">
        <v>0</v>
      </c>
      <c r="G913" s="59">
        <f t="shared" si="28"/>
        <v>0.40203638888888893</v>
      </c>
      <c r="H913" s="63">
        <f t="shared" si="29"/>
        <v>0.5247062037037038</v>
      </c>
      <c r="I913" s="66">
        <f>(C912-C913)/(D913/1000)</f>
        <v>1.1531570870795964</v>
      </c>
    </row>
    <row r="914" spans="1:9" x14ac:dyDescent="0.3">
      <c r="A914" s="33">
        <v>45995.497696759259</v>
      </c>
      <c r="B914" s="34">
        <v>9130</v>
      </c>
      <c r="C914" s="34">
        <v>0.79</v>
      </c>
      <c r="D914" s="34">
        <v>277.2165</v>
      </c>
      <c r="E914" s="34">
        <v>219.3683</v>
      </c>
      <c r="F914" s="34">
        <v>0</v>
      </c>
      <c r="G914" s="59">
        <f t="shared" si="28"/>
        <v>0.7870593055555557</v>
      </c>
      <c r="H914" s="63">
        <f t="shared" si="29"/>
        <v>0.77562444444444456</v>
      </c>
      <c r="I914" s="65"/>
    </row>
    <row r="915" spans="1:9" x14ac:dyDescent="0.3">
      <c r="A915" s="33">
        <v>45995.497812499998</v>
      </c>
      <c r="B915" s="34">
        <v>9140</v>
      </c>
      <c r="C915" s="34">
        <v>0.77</v>
      </c>
      <c r="D915" s="34">
        <v>270.99169999999998</v>
      </c>
      <c r="E915" s="34">
        <v>208.74361999999999</v>
      </c>
      <c r="F915" s="34">
        <v>0</v>
      </c>
      <c r="G915" s="59">
        <f t="shared" si="28"/>
        <v>0.76140027777777786</v>
      </c>
      <c r="H915" s="63">
        <f t="shared" si="29"/>
        <v>0.75446768518518514</v>
      </c>
      <c r="I915" s="65"/>
    </row>
    <row r="916" spans="1:9" x14ac:dyDescent="0.3">
      <c r="A916" s="33">
        <v>45995.497928240744</v>
      </c>
      <c r="B916" s="34">
        <v>9150</v>
      </c>
      <c r="C916" s="34">
        <v>0.75870000000000004</v>
      </c>
      <c r="D916" s="34">
        <v>266.61689999999999</v>
      </c>
      <c r="E916" s="34">
        <v>202.49382</v>
      </c>
      <c r="F916" s="34">
        <v>0</v>
      </c>
      <c r="G916" s="59">
        <f t="shared" si="28"/>
        <v>0.74667861111111122</v>
      </c>
      <c r="H916" s="63">
        <f t="shared" si="29"/>
        <v>0.74166712962962955</v>
      </c>
      <c r="I916" s="65"/>
    </row>
    <row r="917" spans="1:9" x14ac:dyDescent="0.3">
      <c r="A917" s="33">
        <v>45995.498043981483</v>
      </c>
      <c r="B917" s="34">
        <v>9160</v>
      </c>
      <c r="C917" s="34">
        <v>0.74619999999999997</v>
      </c>
      <c r="D917" s="34">
        <v>263.39190000000002</v>
      </c>
      <c r="E917" s="34">
        <v>196.86899</v>
      </c>
      <c r="F917" s="34">
        <v>0</v>
      </c>
      <c r="G917" s="59">
        <f t="shared" si="28"/>
        <v>0.73612333333333346</v>
      </c>
      <c r="H917" s="63">
        <f t="shared" si="29"/>
        <v>0.73236185185185187</v>
      </c>
      <c r="I917" s="65"/>
    </row>
    <row r="918" spans="1:9" x14ac:dyDescent="0.3">
      <c r="A918" s="33">
        <v>45995.498159722221</v>
      </c>
      <c r="B918" s="34">
        <v>9170</v>
      </c>
      <c r="C918" s="34">
        <v>0.73750000000000004</v>
      </c>
      <c r="D918" s="34">
        <v>260.94200000000001</v>
      </c>
      <c r="E918" s="34">
        <v>192.49413000000001</v>
      </c>
      <c r="F918" s="34">
        <v>0</v>
      </c>
      <c r="G918" s="59">
        <f t="shared" si="28"/>
        <v>0.72824152777777795</v>
      </c>
      <c r="H918" s="63">
        <f t="shared" si="29"/>
        <v>0.7254638888888888</v>
      </c>
      <c r="I918" s="65"/>
    </row>
    <row r="919" spans="1:9" x14ac:dyDescent="0.3">
      <c r="A919" s="33">
        <v>45995.49827546296</v>
      </c>
      <c r="B919" s="34">
        <v>9180</v>
      </c>
      <c r="C919" s="34">
        <v>0.73370000000000002</v>
      </c>
      <c r="D919" s="34">
        <v>259.1671</v>
      </c>
      <c r="E919" s="34">
        <v>190.61919</v>
      </c>
      <c r="F919" s="34">
        <v>0</v>
      </c>
      <c r="G919" s="59">
        <f t="shared" si="28"/>
        <v>0.72237375000000004</v>
      </c>
      <c r="H919" s="63">
        <f t="shared" si="29"/>
        <v>0.7202788888888888</v>
      </c>
      <c r="I919" s="65"/>
    </row>
    <row r="920" spans="1:9" x14ac:dyDescent="0.3">
      <c r="A920" s="33">
        <v>45995.498391203706</v>
      </c>
      <c r="B920" s="34">
        <v>9190</v>
      </c>
      <c r="C920" s="34">
        <v>0.73</v>
      </c>
      <c r="D920" s="34">
        <v>257.7921</v>
      </c>
      <c r="E920" s="34">
        <v>188.11926</v>
      </c>
      <c r="F920" s="34">
        <v>0</v>
      </c>
      <c r="G920" s="59">
        <f t="shared" si="28"/>
        <v>0.71799888888888896</v>
      </c>
      <c r="H920" s="63">
        <f t="shared" si="29"/>
        <v>0.71622814814814817</v>
      </c>
      <c r="I920" s="65"/>
    </row>
    <row r="921" spans="1:9" x14ac:dyDescent="0.3">
      <c r="A921" s="33">
        <v>45995.498506944445</v>
      </c>
      <c r="B921" s="34">
        <v>9200</v>
      </c>
      <c r="C921" s="34">
        <v>0.72499999999999998</v>
      </c>
      <c r="D921" s="34">
        <v>256.56720000000001</v>
      </c>
      <c r="E921" s="34">
        <v>186.24431999999999</v>
      </c>
      <c r="F921" s="34">
        <v>0</v>
      </c>
      <c r="G921" s="59">
        <f t="shared" si="28"/>
        <v>0.71438791666666679</v>
      </c>
      <c r="H921" s="63">
        <f t="shared" si="29"/>
        <v>0.71264027777777783</v>
      </c>
      <c r="I921" s="65"/>
    </row>
    <row r="922" spans="1:9" x14ac:dyDescent="0.3">
      <c r="A922" s="33">
        <v>45995.498622685183</v>
      </c>
      <c r="B922" s="34">
        <v>9210</v>
      </c>
      <c r="C922" s="34">
        <v>0.72119999999999995</v>
      </c>
      <c r="D922" s="34">
        <v>255.29220000000001</v>
      </c>
      <c r="E922" s="34">
        <v>183.74438000000001</v>
      </c>
      <c r="F922" s="34">
        <v>0</v>
      </c>
      <c r="G922" s="59">
        <f t="shared" si="28"/>
        <v>0.71091583333333341</v>
      </c>
      <c r="H922" s="63">
        <f t="shared" si="29"/>
        <v>0.70909879629629635</v>
      </c>
      <c r="I922" s="65"/>
    </row>
    <row r="923" spans="1:9" x14ac:dyDescent="0.3">
      <c r="A923" s="33">
        <v>45995.498738425929</v>
      </c>
      <c r="B923" s="34">
        <v>9220</v>
      </c>
      <c r="C923" s="34">
        <v>0.71630000000000005</v>
      </c>
      <c r="D923" s="34">
        <v>253.96729999999999</v>
      </c>
      <c r="E923" s="34">
        <v>181.86945</v>
      </c>
      <c r="F923" s="34">
        <v>0</v>
      </c>
      <c r="G923" s="59">
        <f t="shared" si="28"/>
        <v>0.70730486111111113</v>
      </c>
      <c r="H923" s="63">
        <f t="shared" si="29"/>
        <v>0.70541833333333337</v>
      </c>
      <c r="I923" s="65"/>
    </row>
    <row r="924" spans="1:9" x14ac:dyDescent="0.3">
      <c r="A924" s="33">
        <v>45995.498854166668</v>
      </c>
      <c r="B924" s="34">
        <v>9230</v>
      </c>
      <c r="C924" s="34">
        <v>0.71499999999999997</v>
      </c>
      <c r="D924" s="34">
        <v>252.59229999999999</v>
      </c>
      <c r="E924" s="34">
        <v>179.99450999999999</v>
      </c>
      <c r="F924" s="34">
        <v>0</v>
      </c>
      <c r="G924" s="59">
        <f t="shared" si="28"/>
        <v>0.70355500000000004</v>
      </c>
      <c r="H924" s="63">
        <f t="shared" si="29"/>
        <v>0.7015758333333334</v>
      </c>
      <c r="I924" s="65"/>
    </row>
    <row r="925" spans="1:9" x14ac:dyDescent="0.3">
      <c r="A925" s="33">
        <v>45995.498969907407</v>
      </c>
      <c r="B925" s="34">
        <v>9240</v>
      </c>
      <c r="C925" s="34">
        <v>0.70879999999999999</v>
      </c>
      <c r="D925" s="34">
        <v>251.14230000000001</v>
      </c>
      <c r="E925" s="34">
        <v>178.11957000000001</v>
      </c>
      <c r="F925" s="34">
        <v>0</v>
      </c>
      <c r="G925" s="59">
        <f t="shared" si="28"/>
        <v>0.69963138888888887</v>
      </c>
      <c r="H925" s="63">
        <f t="shared" si="29"/>
        <v>0.69757129629629644</v>
      </c>
      <c r="I925" s="65"/>
    </row>
    <row r="926" spans="1:9" x14ac:dyDescent="0.3">
      <c r="A926" s="33">
        <v>45995.499085648145</v>
      </c>
      <c r="B926" s="34">
        <v>9250</v>
      </c>
      <c r="C926" s="34">
        <v>0.70499999999999996</v>
      </c>
      <c r="D926" s="34">
        <v>249.64240000000001</v>
      </c>
      <c r="E926" s="34">
        <v>176.24463</v>
      </c>
      <c r="F926" s="34">
        <v>0</v>
      </c>
      <c r="G926" s="59">
        <f t="shared" si="28"/>
        <v>0.69553430555555562</v>
      </c>
      <c r="H926" s="63">
        <f t="shared" si="29"/>
        <v>0.693358425925926</v>
      </c>
      <c r="I926" s="65"/>
    </row>
    <row r="927" spans="1:9" x14ac:dyDescent="0.3">
      <c r="A927" s="33">
        <v>45995.499201388891</v>
      </c>
      <c r="B927" s="34">
        <v>9260</v>
      </c>
      <c r="C927" s="34">
        <v>0.70120000000000005</v>
      </c>
      <c r="D927" s="34">
        <v>248.04239999999999</v>
      </c>
      <c r="E927" s="34">
        <v>174.36967000000001</v>
      </c>
      <c r="F927" s="34">
        <v>0</v>
      </c>
      <c r="G927" s="59">
        <f t="shared" si="28"/>
        <v>0.69122888888888889</v>
      </c>
      <c r="H927" s="63">
        <f t="shared" si="29"/>
        <v>0.68896046296296287</v>
      </c>
      <c r="I927" s="65"/>
    </row>
    <row r="928" spans="1:9" x14ac:dyDescent="0.3">
      <c r="A928" s="33">
        <v>45995.49931712963</v>
      </c>
      <c r="B928" s="34">
        <v>9270</v>
      </c>
      <c r="C928" s="34">
        <v>0.69620000000000004</v>
      </c>
      <c r="D928" s="34">
        <v>246.39250000000001</v>
      </c>
      <c r="E928" s="34">
        <v>171.24477999999999</v>
      </c>
      <c r="F928" s="34">
        <v>0</v>
      </c>
      <c r="G928" s="59">
        <f t="shared" si="28"/>
        <v>0.68671513888888891</v>
      </c>
      <c r="H928" s="63">
        <f t="shared" si="29"/>
        <v>0.68433092592592593</v>
      </c>
      <c r="I928" s="65"/>
    </row>
    <row r="929" spans="1:9" x14ac:dyDescent="0.3">
      <c r="A929" s="33">
        <v>45995.499432870369</v>
      </c>
      <c r="B929" s="34">
        <v>9280</v>
      </c>
      <c r="C929" s="34">
        <v>0.68869999999999998</v>
      </c>
      <c r="D929" s="34">
        <v>244.64250000000001</v>
      </c>
      <c r="E929" s="34">
        <v>168.74484000000001</v>
      </c>
      <c r="F929" s="34">
        <v>0</v>
      </c>
      <c r="G929" s="59">
        <f t="shared" si="28"/>
        <v>0.68199305555555567</v>
      </c>
      <c r="H929" s="63">
        <f t="shared" si="29"/>
        <v>0.67949314814814821</v>
      </c>
      <c r="I929" s="65"/>
    </row>
    <row r="930" spans="1:9" x14ac:dyDescent="0.3">
      <c r="A930" s="33">
        <v>45995.499548611115</v>
      </c>
      <c r="B930" s="34">
        <v>9290</v>
      </c>
      <c r="C930" s="34">
        <v>0.68500000000000005</v>
      </c>
      <c r="D930" s="34">
        <v>242.8176</v>
      </c>
      <c r="E930" s="34">
        <v>165.61994999999999</v>
      </c>
      <c r="F930" s="34">
        <v>0</v>
      </c>
      <c r="G930" s="59">
        <f t="shared" si="28"/>
        <v>0.67702791666666673</v>
      </c>
      <c r="H930" s="63">
        <f t="shared" si="29"/>
        <v>0.45135194444444443</v>
      </c>
      <c r="I930" s="66">
        <f>(C936-C930)/(D930/1000)</f>
        <v>1.9047218982479026</v>
      </c>
    </row>
    <row r="931" spans="1:9" x14ac:dyDescent="0.3">
      <c r="A931" s="33">
        <v>45995.499664351853</v>
      </c>
      <c r="B931" s="34">
        <v>9300</v>
      </c>
      <c r="C931" s="34">
        <v>1.0175000000000001</v>
      </c>
      <c r="D931" s="34">
        <v>0</v>
      </c>
      <c r="E931" s="34">
        <v>0</v>
      </c>
      <c r="F931" s="34">
        <v>1</v>
      </c>
      <c r="G931" s="59">
        <f t="shared" si="28"/>
        <v>0.33724666666666669</v>
      </c>
      <c r="H931" s="63">
        <f t="shared" si="29"/>
        <v>0.22483111111111112</v>
      </c>
      <c r="I931" s="65"/>
    </row>
    <row r="932" spans="1:9" x14ac:dyDescent="0.3">
      <c r="A932" s="33">
        <v>45995.499780092592</v>
      </c>
      <c r="B932" s="34">
        <v>9310</v>
      </c>
      <c r="C932" s="34">
        <v>1.08</v>
      </c>
      <c r="D932" s="34">
        <v>0</v>
      </c>
      <c r="E932" s="34">
        <v>0</v>
      </c>
      <c r="F932" s="34">
        <v>1</v>
      </c>
      <c r="G932" s="59">
        <f t="shared" si="28"/>
        <v>0</v>
      </c>
      <c r="H932" s="63">
        <f t="shared" si="29"/>
        <v>0</v>
      </c>
      <c r="I932" s="65"/>
    </row>
    <row r="933" spans="1:9" x14ac:dyDescent="0.3">
      <c r="A933" s="33">
        <v>45995.499895833331</v>
      </c>
      <c r="B933" s="34">
        <v>9320</v>
      </c>
      <c r="C933" s="34">
        <v>1.1100000000000001</v>
      </c>
      <c r="D933" s="34">
        <v>0</v>
      </c>
      <c r="E933" s="34">
        <v>0</v>
      </c>
      <c r="F933" s="34">
        <v>1</v>
      </c>
      <c r="G933" s="59">
        <f t="shared" si="28"/>
        <v>0</v>
      </c>
      <c r="H933" s="63">
        <f t="shared" si="29"/>
        <v>0</v>
      </c>
      <c r="I933" s="65"/>
    </row>
    <row r="934" spans="1:9" x14ac:dyDescent="0.3">
      <c r="A934" s="33">
        <v>45995.500011574077</v>
      </c>
      <c r="B934" s="34">
        <v>9330</v>
      </c>
      <c r="C934" s="34">
        <v>1.125</v>
      </c>
      <c r="D934" s="34">
        <v>0</v>
      </c>
      <c r="E934" s="34">
        <v>0</v>
      </c>
      <c r="F934" s="34">
        <v>1</v>
      </c>
      <c r="G934" s="59">
        <f t="shared" si="28"/>
        <v>0</v>
      </c>
      <c r="H934" s="63">
        <f t="shared" si="29"/>
        <v>0</v>
      </c>
      <c r="I934" s="65"/>
    </row>
    <row r="935" spans="1:9" x14ac:dyDescent="0.3">
      <c r="A935" s="33">
        <v>45995.500127314815</v>
      </c>
      <c r="B935" s="34">
        <v>9340</v>
      </c>
      <c r="C935" s="34">
        <v>1.1375</v>
      </c>
      <c r="D935" s="34">
        <v>0</v>
      </c>
      <c r="E935" s="34">
        <v>0</v>
      </c>
      <c r="F935" s="34">
        <v>1</v>
      </c>
      <c r="G935" s="59">
        <f t="shared" si="28"/>
        <v>0</v>
      </c>
      <c r="H935" s="63">
        <f t="shared" si="29"/>
        <v>0</v>
      </c>
      <c r="I935" s="65"/>
    </row>
    <row r="936" spans="1:9" x14ac:dyDescent="0.3">
      <c r="A936" s="33">
        <v>45995.500243055554</v>
      </c>
      <c r="B936" s="34">
        <v>9350</v>
      </c>
      <c r="C936" s="34">
        <v>1.1475</v>
      </c>
      <c r="D936" s="34">
        <v>0</v>
      </c>
      <c r="E936" s="34">
        <v>0</v>
      </c>
      <c r="F936" s="34">
        <v>1</v>
      </c>
      <c r="G936" s="59">
        <f t="shared" si="28"/>
        <v>0</v>
      </c>
      <c r="H936" s="63">
        <f t="shared" si="29"/>
        <v>0.26230685185185187</v>
      </c>
      <c r="I936" s="65"/>
    </row>
    <row r="937" spans="1:9" x14ac:dyDescent="0.3">
      <c r="A937" s="33">
        <v>45995.500358796293</v>
      </c>
      <c r="B937" s="34">
        <v>9360</v>
      </c>
      <c r="C937" s="34">
        <v>0.8075</v>
      </c>
      <c r="D937" s="34">
        <v>283.29140000000001</v>
      </c>
      <c r="E937" s="34">
        <v>228.11804000000001</v>
      </c>
      <c r="F937" s="34">
        <v>0</v>
      </c>
      <c r="G937" s="59">
        <f t="shared" si="28"/>
        <v>0.39346027777777781</v>
      </c>
      <c r="H937" s="63">
        <f t="shared" si="29"/>
        <v>0.51109555555555564</v>
      </c>
      <c r="I937" s="66">
        <f>(C936-C937)/(D937/1000)</f>
        <v>1.2001776262886905</v>
      </c>
    </row>
    <row r="938" spans="1:9" x14ac:dyDescent="0.3">
      <c r="A938" s="33">
        <v>45995.500474537039</v>
      </c>
      <c r="B938" s="34">
        <v>9370</v>
      </c>
      <c r="C938" s="34">
        <v>0.76249999999999996</v>
      </c>
      <c r="D938" s="34">
        <v>268.6918</v>
      </c>
      <c r="E938" s="34">
        <v>204.99374</v>
      </c>
      <c r="F938" s="34">
        <v>0</v>
      </c>
      <c r="G938" s="59">
        <f t="shared" si="28"/>
        <v>0.76664333333333334</v>
      </c>
      <c r="H938" s="63">
        <f t="shared" si="29"/>
        <v>0.75155120370370387</v>
      </c>
      <c r="I938" s="65"/>
    </row>
    <row r="939" spans="1:9" x14ac:dyDescent="0.3">
      <c r="A939" s="33">
        <v>45995.500590277778</v>
      </c>
      <c r="B939" s="34">
        <v>9380</v>
      </c>
      <c r="C939" s="34">
        <v>0.73619999999999997</v>
      </c>
      <c r="D939" s="34">
        <v>259.69209999999998</v>
      </c>
      <c r="E939" s="34">
        <v>190.61919</v>
      </c>
      <c r="F939" s="34">
        <v>0</v>
      </c>
      <c r="G939" s="59">
        <f t="shared" si="28"/>
        <v>0.73386652777777783</v>
      </c>
      <c r="H939" s="63">
        <f t="shared" si="29"/>
        <v>0.72335759259259258</v>
      </c>
      <c r="I939" s="65"/>
    </row>
    <row r="940" spans="1:9" x14ac:dyDescent="0.3">
      <c r="A940" s="33">
        <v>45995.500706018516</v>
      </c>
      <c r="B940" s="34">
        <v>9390</v>
      </c>
      <c r="C940" s="34">
        <v>0.71630000000000005</v>
      </c>
      <c r="D940" s="34">
        <v>252.84229999999999</v>
      </c>
      <c r="E940" s="34">
        <v>181.24448000000001</v>
      </c>
      <c r="F940" s="34">
        <v>0</v>
      </c>
      <c r="G940" s="59">
        <f t="shared" si="28"/>
        <v>0.71185333333333334</v>
      </c>
      <c r="H940" s="63">
        <f t="shared" si="29"/>
        <v>0.70379796296296293</v>
      </c>
      <c r="I940" s="65"/>
    </row>
    <row r="941" spans="1:9" x14ac:dyDescent="0.3">
      <c r="A941" s="33">
        <v>45995.500821759262</v>
      </c>
      <c r="B941" s="34">
        <v>9400</v>
      </c>
      <c r="C941" s="34">
        <v>0.7</v>
      </c>
      <c r="D941" s="34">
        <v>247.56739999999999</v>
      </c>
      <c r="E941" s="34">
        <v>173.11972</v>
      </c>
      <c r="F941" s="34">
        <v>0</v>
      </c>
      <c r="G941" s="59">
        <f t="shared" si="28"/>
        <v>0.69501347222222221</v>
      </c>
      <c r="H941" s="63">
        <f t="shared" si="29"/>
        <v>0.68877527777777769</v>
      </c>
      <c r="I941" s="65"/>
    </row>
    <row r="942" spans="1:9" x14ac:dyDescent="0.3">
      <c r="A942" s="33">
        <v>45995.500937500001</v>
      </c>
      <c r="B942" s="34">
        <v>9410</v>
      </c>
      <c r="C942" s="34">
        <v>0.68620000000000003</v>
      </c>
      <c r="D942" s="34">
        <v>243.4676</v>
      </c>
      <c r="E942" s="34">
        <v>166.8699</v>
      </c>
      <c r="F942" s="34">
        <v>0</v>
      </c>
      <c r="G942" s="59">
        <f t="shared" si="28"/>
        <v>0.68199305555555556</v>
      </c>
      <c r="H942" s="63">
        <f t="shared" si="29"/>
        <v>0.6775256481481482</v>
      </c>
      <c r="I942" s="65"/>
    </row>
    <row r="943" spans="1:9" x14ac:dyDescent="0.3">
      <c r="A943" s="33">
        <v>45995.50105324074</v>
      </c>
      <c r="B943" s="34">
        <v>9420</v>
      </c>
      <c r="C943" s="34">
        <v>0.67869999999999997</v>
      </c>
      <c r="D943" s="34">
        <v>240.6927</v>
      </c>
      <c r="E943" s="34">
        <v>163.745</v>
      </c>
      <c r="F943" s="34">
        <v>0</v>
      </c>
      <c r="G943" s="59">
        <f t="shared" si="28"/>
        <v>0.67244486111111113</v>
      </c>
      <c r="H943" s="63">
        <f t="shared" si="29"/>
        <v>0.66896111111111123</v>
      </c>
      <c r="I943" s="65"/>
    </row>
    <row r="944" spans="1:9" x14ac:dyDescent="0.3">
      <c r="A944" s="33">
        <v>45995.501168981478</v>
      </c>
      <c r="B944" s="34">
        <v>9430</v>
      </c>
      <c r="C944" s="34">
        <v>0.67</v>
      </c>
      <c r="D944" s="34">
        <v>238.3177</v>
      </c>
      <c r="E944" s="34">
        <v>159.99511999999999</v>
      </c>
      <c r="F944" s="34">
        <v>0</v>
      </c>
      <c r="G944" s="59">
        <f t="shared" si="28"/>
        <v>0.66529222222222228</v>
      </c>
      <c r="H944" s="63">
        <f t="shared" si="29"/>
        <v>0.66178537037037055</v>
      </c>
      <c r="I944" s="65"/>
    </row>
    <row r="945" spans="1:9" x14ac:dyDescent="0.3">
      <c r="A945" s="33">
        <v>45995.501284722224</v>
      </c>
      <c r="B945" s="34">
        <v>9440</v>
      </c>
      <c r="C945" s="34">
        <v>0.66120000000000001</v>
      </c>
      <c r="D945" s="34">
        <v>235.71780000000001</v>
      </c>
      <c r="E945" s="34">
        <v>155.62025</v>
      </c>
      <c r="F945" s="34">
        <v>0</v>
      </c>
      <c r="G945" s="59">
        <f t="shared" si="28"/>
        <v>0.65838263888888893</v>
      </c>
      <c r="H945" s="63">
        <f t="shared" si="29"/>
        <v>0.6547022222222223</v>
      </c>
      <c r="I945" s="65"/>
    </row>
    <row r="946" spans="1:9" x14ac:dyDescent="0.3">
      <c r="A946" s="33">
        <v>45995.501400462963</v>
      </c>
      <c r="B946" s="34">
        <v>9450</v>
      </c>
      <c r="C946" s="34">
        <v>0.65380000000000005</v>
      </c>
      <c r="D946" s="34">
        <v>233.0429</v>
      </c>
      <c r="E946" s="34">
        <v>151.87036000000001</v>
      </c>
      <c r="F946" s="34">
        <v>0</v>
      </c>
      <c r="G946" s="59">
        <f t="shared" si="28"/>
        <v>0.65105652777777789</v>
      </c>
      <c r="H946" s="63">
        <f t="shared" si="29"/>
        <v>0.64704046296296303</v>
      </c>
      <c r="I946" s="65"/>
    </row>
    <row r="947" spans="1:9" x14ac:dyDescent="0.3">
      <c r="A947" s="33">
        <v>45995.501516203702</v>
      </c>
      <c r="B947" s="34">
        <v>9460</v>
      </c>
      <c r="C947" s="34">
        <v>0.64380000000000004</v>
      </c>
      <c r="D947" s="34">
        <v>230.04300000000001</v>
      </c>
      <c r="E947" s="34">
        <v>148.74545000000001</v>
      </c>
      <c r="F947" s="34">
        <v>0</v>
      </c>
      <c r="G947" s="59">
        <f t="shared" si="28"/>
        <v>0.64317486111111122</v>
      </c>
      <c r="H947" s="63">
        <f t="shared" si="29"/>
        <v>0.63873055555555558</v>
      </c>
      <c r="I947" s="65"/>
    </row>
    <row r="948" spans="1:9" x14ac:dyDescent="0.3">
      <c r="A948" s="33">
        <v>45995.501631944448</v>
      </c>
      <c r="B948" s="34">
        <v>9470</v>
      </c>
      <c r="C948" s="34">
        <v>0.63870000000000005</v>
      </c>
      <c r="D948" s="34">
        <v>226.7431</v>
      </c>
      <c r="E948" s="34">
        <v>144.37058999999999</v>
      </c>
      <c r="F948" s="34">
        <v>0</v>
      </c>
      <c r="G948" s="59">
        <f t="shared" si="28"/>
        <v>0.63442513888888896</v>
      </c>
      <c r="H948" s="63">
        <f t="shared" si="29"/>
        <v>0.62947157407407417</v>
      </c>
      <c r="I948" s="65"/>
    </row>
    <row r="949" spans="1:9" x14ac:dyDescent="0.3">
      <c r="A949" s="33">
        <v>45995.501747685186</v>
      </c>
      <c r="B949" s="34">
        <v>9480</v>
      </c>
      <c r="C949" s="34">
        <v>0.62749999999999995</v>
      </c>
      <c r="D949" s="34">
        <v>223.04320000000001</v>
      </c>
      <c r="E949" s="34">
        <v>139.99573000000001</v>
      </c>
      <c r="F949" s="34">
        <v>0</v>
      </c>
      <c r="G949" s="59">
        <f t="shared" si="28"/>
        <v>0.62470319444444444</v>
      </c>
      <c r="H949" s="63">
        <f t="shared" si="29"/>
        <v>0.61917092592592582</v>
      </c>
      <c r="I949" s="65"/>
    </row>
    <row r="950" spans="1:9" x14ac:dyDescent="0.3">
      <c r="A950" s="33">
        <v>45995.501863425925</v>
      </c>
      <c r="B950" s="34">
        <v>9490</v>
      </c>
      <c r="C950" s="34">
        <v>0.61499999999999999</v>
      </c>
      <c r="D950" s="34">
        <v>218.91829999999999</v>
      </c>
      <c r="E950" s="34">
        <v>134.37090000000001</v>
      </c>
      <c r="F950" s="34">
        <v>0</v>
      </c>
      <c r="G950" s="59">
        <f t="shared" si="28"/>
        <v>0.61383541666666674</v>
      </c>
      <c r="H950" s="63">
        <f t="shared" si="29"/>
        <v>0.60752777777777778</v>
      </c>
      <c r="I950" s="65"/>
    </row>
    <row r="951" spans="1:9" x14ac:dyDescent="0.3">
      <c r="A951" s="33">
        <v>45995.501979166664</v>
      </c>
      <c r="B951" s="34">
        <v>9500</v>
      </c>
      <c r="C951" s="34">
        <v>0.60119999999999996</v>
      </c>
      <c r="D951" s="34">
        <v>214.16849999999999</v>
      </c>
      <c r="E951" s="34">
        <v>128.74606</v>
      </c>
      <c r="F951" s="34">
        <v>0</v>
      </c>
      <c r="G951" s="59">
        <f t="shared" si="28"/>
        <v>0.60150944444444443</v>
      </c>
      <c r="H951" s="63">
        <f t="shared" si="29"/>
        <v>0.59407907407407401</v>
      </c>
      <c r="I951" s="65"/>
    </row>
    <row r="952" spans="1:9" x14ac:dyDescent="0.3">
      <c r="A952" s="33">
        <v>45995.50209490741</v>
      </c>
      <c r="B952" s="34">
        <v>9510</v>
      </c>
      <c r="C952" s="34">
        <v>0.58130000000000004</v>
      </c>
      <c r="D952" s="34">
        <v>208.51859999999999</v>
      </c>
      <c r="E952" s="34">
        <v>121.24630000000001</v>
      </c>
      <c r="F952" s="34">
        <v>0</v>
      </c>
      <c r="G952" s="59">
        <f t="shared" si="28"/>
        <v>0.58706541666666667</v>
      </c>
      <c r="H952" s="63">
        <f t="shared" si="29"/>
        <v>0.57845453703703698</v>
      </c>
      <c r="I952" s="65"/>
    </row>
    <row r="953" spans="1:9" x14ac:dyDescent="0.3">
      <c r="A953" s="33">
        <v>45995.502210648148</v>
      </c>
      <c r="B953" s="34">
        <v>9520</v>
      </c>
      <c r="C953" s="34">
        <v>0.56120000000000003</v>
      </c>
      <c r="D953" s="34">
        <v>202.0438</v>
      </c>
      <c r="E953" s="34">
        <v>113.74653000000001</v>
      </c>
      <c r="F953" s="34">
        <v>0</v>
      </c>
      <c r="G953" s="59">
        <f t="shared" si="28"/>
        <v>0.57022555555555565</v>
      </c>
      <c r="H953" s="63">
        <f t="shared" si="29"/>
        <v>0.56014490740740741</v>
      </c>
      <c r="I953" s="65"/>
    </row>
    <row r="954" spans="1:9" x14ac:dyDescent="0.3">
      <c r="A954" s="33">
        <v>45995.502326388887</v>
      </c>
      <c r="B954" s="34">
        <v>9530</v>
      </c>
      <c r="C954" s="34">
        <v>0.54</v>
      </c>
      <c r="D954" s="34">
        <v>194.39410000000001</v>
      </c>
      <c r="E954" s="34">
        <v>104.99679999999999</v>
      </c>
      <c r="F954" s="34">
        <v>0</v>
      </c>
      <c r="G954" s="59">
        <f t="shared" si="28"/>
        <v>0.55060819444444453</v>
      </c>
      <c r="H954" s="63">
        <f t="shared" si="29"/>
        <v>0.3670721296296296</v>
      </c>
      <c r="I954" s="65"/>
    </row>
    <row r="955" spans="1:9" x14ac:dyDescent="0.3">
      <c r="A955" s="33">
        <v>45995.502442129633</v>
      </c>
      <c r="B955" s="34">
        <v>9540</v>
      </c>
      <c r="C955" s="34">
        <v>0.83879999999999999</v>
      </c>
      <c r="D955" s="34">
        <v>0</v>
      </c>
      <c r="E955" s="34">
        <v>0</v>
      </c>
      <c r="F955" s="34">
        <v>1</v>
      </c>
      <c r="G955" s="59">
        <f t="shared" si="28"/>
        <v>0.26999180555555558</v>
      </c>
      <c r="H955" s="63"/>
      <c r="I955" s="65"/>
    </row>
    <row r="956" spans="1:9" x14ac:dyDescent="0.3">
      <c r="A956" s="32" t="s">
        <v>5</v>
      </c>
    </row>
    <row r="957" spans="1:9" x14ac:dyDescent="0.3">
      <c r="B957" s="46">
        <f>B955/3600</f>
        <v>2.65</v>
      </c>
      <c r="D957" s="60">
        <f>AVERAGEIF(D9:D955,"&gt;0")</f>
        <v>314.69138335625843</v>
      </c>
      <c r="F957" s="61">
        <f>(SUM(F2:F956)-1)*10</f>
        <v>2340</v>
      </c>
      <c r="G957" s="47">
        <f>D957*B957</f>
        <v>833.93216589408485</v>
      </c>
    </row>
    <row r="958" spans="1:9" x14ac:dyDescent="0.3">
      <c r="B958" s="47">
        <f>(B954-70-F957)/3600</f>
        <v>1.9777777777777779</v>
      </c>
      <c r="D958" s="60">
        <f>AVERAGEIF(D9:D955,"&gt;0")</f>
        <v>314.69138335625843</v>
      </c>
      <c r="G958" s="47">
        <f>B958*D958</f>
        <v>622.38962486015555</v>
      </c>
    </row>
    <row r="959" spans="1:9" x14ac:dyDescent="0.3">
      <c r="G959" s="62">
        <f>SUM(G2:G955)</f>
        <v>635.50933500000008</v>
      </c>
    </row>
    <row r="960" spans="1:9" x14ac:dyDescent="0.3">
      <c r="G960" s="26">
        <f>SUM(H2:H954)</f>
        <v>634.94104212962941</v>
      </c>
    </row>
  </sheetData>
  <pageMargins left="0.7" right="0.7" top="0.75" bottom="0.75" header="0.3" footer="0.3"/>
  <ignoredErrors>
    <ignoredError sqref="D957:D95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B691-BC89-4120-A4F5-7440EEB48A45}">
  <dimension ref="A1:I1203"/>
  <sheetViews>
    <sheetView tabSelected="1" workbookViewId="0">
      <pane ySplit="1" topLeftCell="A11" activePane="bottomLeft" state="frozen"/>
      <selection pane="bottomLeft" activeCell="I28" sqref="I28"/>
    </sheetView>
  </sheetViews>
  <sheetFormatPr baseColWidth="10" defaultRowHeight="14.4" x14ac:dyDescent="0.3"/>
  <cols>
    <col min="1" max="1" width="18.88671875" style="32" customWidth="1"/>
    <col min="2" max="2" width="8.109375" style="5" customWidth="1"/>
    <col min="3" max="3" width="7.5546875" style="5" customWidth="1"/>
    <col min="4" max="4" width="9.5546875" style="5" customWidth="1"/>
    <col min="5" max="5" width="10.109375" style="5" customWidth="1"/>
    <col min="6" max="6" width="10.21875" style="5" customWidth="1"/>
    <col min="7" max="8" width="11.5546875" style="5"/>
    <col min="9" max="9" width="11.5546875" style="3"/>
    <col min="10" max="16384" width="11.5546875" style="5"/>
  </cols>
  <sheetData>
    <row r="1" spans="1:9" s="68" customFormat="1" ht="57.6" x14ac:dyDescent="0.3">
      <c r="A1" s="69" t="s">
        <v>19</v>
      </c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57" t="s">
        <v>12</v>
      </c>
      <c r="H1" s="44" t="s">
        <v>33</v>
      </c>
      <c r="I1" s="64" t="s">
        <v>34</v>
      </c>
    </row>
    <row r="2" spans="1:9" x14ac:dyDescent="0.3">
      <c r="A2" s="33">
        <v>46003.449803240743</v>
      </c>
      <c r="B2" s="34">
        <v>10</v>
      </c>
      <c r="C2" s="34">
        <v>1.5575000000000001</v>
      </c>
      <c r="D2" s="34">
        <v>0</v>
      </c>
      <c r="E2" s="34">
        <v>0</v>
      </c>
      <c r="F2" s="34">
        <v>0</v>
      </c>
    </row>
    <row r="3" spans="1:9" x14ac:dyDescent="0.3">
      <c r="A3" s="33">
        <v>46003.449918981481</v>
      </c>
      <c r="B3" s="34">
        <v>20</v>
      </c>
      <c r="C3" s="34">
        <v>1.5537000000000001</v>
      </c>
      <c r="D3" s="34">
        <v>0</v>
      </c>
      <c r="E3" s="34">
        <v>0</v>
      </c>
      <c r="F3" s="34">
        <v>0</v>
      </c>
    </row>
    <row r="4" spans="1:9" x14ac:dyDescent="0.3">
      <c r="A4" s="33">
        <v>46003.45003472222</v>
      </c>
      <c r="B4" s="34">
        <v>30</v>
      </c>
      <c r="C4" s="34">
        <v>1.5511999999999999</v>
      </c>
      <c r="D4" s="34">
        <v>0</v>
      </c>
      <c r="E4" s="34">
        <v>0</v>
      </c>
      <c r="F4" s="34">
        <v>0</v>
      </c>
    </row>
    <row r="5" spans="1:9" x14ac:dyDescent="0.3">
      <c r="A5" s="33">
        <v>46003.450150462966</v>
      </c>
      <c r="B5" s="34">
        <v>40</v>
      </c>
      <c r="C5" s="34">
        <v>1.5487</v>
      </c>
      <c r="D5" s="34">
        <v>0</v>
      </c>
      <c r="E5" s="34">
        <v>0</v>
      </c>
      <c r="F5" s="34">
        <v>0</v>
      </c>
    </row>
    <row r="6" spans="1:9" x14ac:dyDescent="0.3">
      <c r="A6" s="33">
        <v>46003.450266203705</v>
      </c>
      <c r="B6" s="34">
        <v>50</v>
      </c>
      <c r="C6" s="34">
        <v>1.2663</v>
      </c>
      <c r="D6" s="34">
        <v>428.23689999999999</v>
      </c>
      <c r="E6" s="34">
        <v>542.48346000000004</v>
      </c>
      <c r="F6" s="34">
        <v>0</v>
      </c>
      <c r="G6" s="5">
        <f>($B$2/3600)*((D5+D6)/2)</f>
        <v>0.59477347222222221</v>
      </c>
      <c r="I6" s="72">
        <f>(C2-C6)/(D6/1000)</f>
        <v>0.6799974500095628</v>
      </c>
    </row>
    <row r="7" spans="1:9" x14ac:dyDescent="0.3">
      <c r="A7" s="33">
        <v>46003.450381944444</v>
      </c>
      <c r="B7" s="34">
        <v>60</v>
      </c>
      <c r="C7" s="34">
        <v>1.2713000000000001</v>
      </c>
      <c r="D7" s="34">
        <v>423.6121</v>
      </c>
      <c r="E7" s="34">
        <v>538.10857999999996</v>
      </c>
      <c r="F7" s="34">
        <v>0</v>
      </c>
      <c r="G7" s="5">
        <f t="shared" ref="G7:G70" si="0">($B$2/3600)*((D6+D7)/2)</f>
        <v>1.183123611111111</v>
      </c>
    </row>
    <row r="8" spans="1:9" x14ac:dyDescent="0.3">
      <c r="A8" s="33">
        <v>46003.450497685182</v>
      </c>
      <c r="B8" s="34">
        <v>70</v>
      </c>
      <c r="C8" s="34">
        <v>1.2312000000000001</v>
      </c>
      <c r="D8" s="34">
        <v>421.26209999999998</v>
      </c>
      <c r="E8" s="34">
        <v>518.73419000000001</v>
      </c>
      <c r="F8" s="34">
        <v>0</v>
      </c>
      <c r="G8" s="5">
        <f t="shared" si="0"/>
        <v>1.1734363888888888</v>
      </c>
    </row>
    <row r="9" spans="1:9" x14ac:dyDescent="0.3">
      <c r="A9" s="33">
        <v>46003.450613425928</v>
      </c>
      <c r="B9" s="34">
        <v>80</v>
      </c>
      <c r="C9" s="34">
        <v>1.2262</v>
      </c>
      <c r="D9" s="34">
        <v>419.51220000000001</v>
      </c>
      <c r="E9" s="34">
        <v>513.73431000000005</v>
      </c>
      <c r="F9" s="34">
        <v>0</v>
      </c>
      <c r="G9" s="5">
        <f t="shared" si="0"/>
        <v>1.1677420833333334</v>
      </c>
    </row>
    <row r="10" spans="1:9" x14ac:dyDescent="0.3">
      <c r="A10" s="33">
        <v>46003.450729166667</v>
      </c>
      <c r="B10" s="34">
        <v>90</v>
      </c>
      <c r="C10" s="34">
        <v>1.22</v>
      </c>
      <c r="D10" s="34">
        <v>417.98719999999997</v>
      </c>
      <c r="E10" s="34">
        <v>509.98444000000001</v>
      </c>
      <c r="F10" s="34">
        <v>0</v>
      </c>
      <c r="G10" s="5">
        <f t="shared" si="0"/>
        <v>1.163193611111111</v>
      </c>
    </row>
    <row r="11" spans="1:9" x14ac:dyDescent="0.3">
      <c r="A11" s="33">
        <v>46003.450844907406</v>
      </c>
      <c r="B11" s="34">
        <v>100</v>
      </c>
      <c r="C11" s="34">
        <v>1.2161999999999999</v>
      </c>
      <c r="D11" s="34">
        <v>416.53730000000002</v>
      </c>
      <c r="E11" s="34">
        <v>506.85953000000001</v>
      </c>
      <c r="F11" s="34">
        <v>0</v>
      </c>
      <c r="G11" s="5">
        <f t="shared" si="0"/>
        <v>1.1590618055555555</v>
      </c>
    </row>
    <row r="12" spans="1:9" x14ac:dyDescent="0.3">
      <c r="A12" s="33">
        <v>46003.450960648152</v>
      </c>
      <c r="B12" s="34">
        <v>110</v>
      </c>
      <c r="C12" s="34">
        <v>1.2112000000000001</v>
      </c>
      <c r="D12" s="34">
        <v>415.18729999999999</v>
      </c>
      <c r="E12" s="34">
        <v>503.10964999999999</v>
      </c>
      <c r="F12" s="34">
        <v>0</v>
      </c>
      <c r="G12" s="5">
        <f t="shared" si="0"/>
        <v>1.1551730555555557</v>
      </c>
    </row>
    <row r="13" spans="1:9" x14ac:dyDescent="0.3">
      <c r="A13" s="33">
        <v>46003.45107638889</v>
      </c>
      <c r="B13" s="34">
        <v>120</v>
      </c>
      <c r="C13" s="34">
        <v>1.2088000000000001</v>
      </c>
      <c r="D13" s="34">
        <v>413.98739999999998</v>
      </c>
      <c r="E13" s="34">
        <v>500.60971000000001</v>
      </c>
      <c r="F13" s="34">
        <v>0</v>
      </c>
      <c r="G13" s="5">
        <f t="shared" si="0"/>
        <v>1.1516315277777778</v>
      </c>
    </row>
    <row r="14" spans="1:9" x14ac:dyDescent="0.3">
      <c r="A14" s="33">
        <v>46003.451192129629</v>
      </c>
      <c r="B14" s="34">
        <v>130</v>
      </c>
      <c r="C14" s="34">
        <v>1.2038</v>
      </c>
      <c r="D14" s="34">
        <v>412.8374</v>
      </c>
      <c r="E14" s="34">
        <v>496.85982999999999</v>
      </c>
      <c r="F14" s="34">
        <v>0</v>
      </c>
      <c r="G14" s="5">
        <f t="shared" si="0"/>
        <v>1.1483677777777779</v>
      </c>
    </row>
    <row r="15" spans="1:9" x14ac:dyDescent="0.3">
      <c r="A15" s="33">
        <v>46003.451307870368</v>
      </c>
      <c r="B15" s="34">
        <v>140</v>
      </c>
      <c r="C15" s="34">
        <v>1.2</v>
      </c>
      <c r="D15" s="34">
        <v>411.81240000000003</v>
      </c>
      <c r="E15" s="34">
        <v>494.35991999999999</v>
      </c>
      <c r="F15" s="34">
        <v>0</v>
      </c>
      <c r="G15" s="5">
        <f t="shared" si="0"/>
        <v>1.1453469444444446</v>
      </c>
    </row>
    <row r="16" spans="1:9" x14ac:dyDescent="0.3">
      <c r="A16" s="33">
        <v>46003.451423611114</v>
      </c>
      <c r="B16" s="34">
        <v>150</v>
      </c>
      <c r="C16" s="34">
        <v>1.1961999999999999</v>
      </c>
      <c r="D16" s="34">
        <v>410.86250000000001</v>
      </c>
      <c r="E16" s="34">
        <v>491.23502000000002</v>
      </c>
      <c r="F16" s="34">
        <v>0</v>
      </c>
      <c r="G16" s="5">
        <f t="shared" si="0"/>
        <v>1.1426040277777778</v>
      </c>
    </row>
    <row r="17" spans="1:9" x14ac:dyDescent="0.3">
      <c r="A17" s="33">
        <v>46003.451539351852</v>
      </c>
      <c r="B17" s="34">
        <v>160</v>
      </c>
      <c r="C17" s="34">
        <v>1.1961999999999999</v>
      </c>
      <c r="D17" s="34">
        <v>410.01249999999999</v>
      </c>
      <c r="E17" s="34">
        <v>490.61002000000002</v>
      </c>
      <c r="F17" s="34">
        <v>0</v>
      </c>
      <c r="G17" s="5">
        <f t="shared" si="0"/>
        <v>1.1401041666666667</v>
      </c>
    </row>
    <row r="18" spans="1:9" x14ac:dyDescent="0.3">
      <c r="A18" s="33">
        <v>46003.451655092591</v>
      </c>
      <c r="B18" s="34">
        <v>170</v>
      </c>
      <c r="C18" s="34">
        <v>1.1961999999999999</v>
      </c>
      <c r="D18" s="34">
        <v>409.21249999999998</v>
      </c>
      <c r="E18" s="34">
        <v>489.36007999999998</v>
      </c>
      <c r="F18" s="34">
        <v>0</v>
      </c>
      <c r="G18" s="5">
        <f t="shared" si="0"/>
        <v>1.1378124999999999</v>
      </c>
    </row>
    <row r="19" spans="1:9" x14ac:dyDescent="0.3">
      <c r="A19" s="33">
        <v>46003.451770833337</v>
      </c>
      <c r="B19" s="34">
        <v>180</v>
      </c>
      <c r="C19" s="34">
        <v>1.1938</v>
      </c>
      <c r="D19" s="34">
        <v>408.4375</v>
      </c>
      <c r="E19" s="34">
        <v>487.48511000000002</v>
      </c>
      <c r="F19" s="34">
        <v>0</v>
      </c>
      <c r="G19" s="5">
        <f t="shared" si="0"/>
        <v>1.1356250000000001</v>
      </c>
    </row>
    <row r="20" spans="1:9" x14ac:dyDescent="0.3">
      <c r="A20" s="33">
        <v>46003.451886574076</v>
      </c>
      <c r="B20" s="34">
        <v>190</v>
      </c>
      <c r="C20" s="34">
        <v>1.19</v>
      </c>
      <c r="D20" s="34">
        <v>407.66250000000002</v>
      </c>
      <c r="E20" s="34">
        <v>485.61016999999998</v>
      </c>
      <c r="F20" s="34">
        <v>0</v>
      </c>
      <c r="G20" s="5">
        <f t="shared" si="0"/>
        <v>1.1334722222222222</v>
      </c>
    </row>
    <row r="21" spans="1:9" x14ac:dyDescent="0.3">
      <c r="A21" s="33">
        <v>46003.452002314814</v>
      </c>
      <c r="B21" s="34">
        <v>200</v>
      </c>
      <c r="C21" s="34">
        <v>1.1888000000000001</v>
      </c>
      <c r="D21" s="34">
        <v>406.88760000000002</v>
      </c>
      <c r="E21" s="34">
        <v>483.11025999999998</v>
      </c>
      <c r="F21" s="34">
        <v>0</v>
      </c>
      <c r="G21" s="5">
        <f t="shared" si="0"/>
        <v>1.1313195833333334</v>
      </c>
    </row>
    <row r="22" spans="1:9" x14ac:dyDescent="0.3">
      <c r="A22" s="33">
        <v>46003.452118055553</v>
      </c>
      <c r="B22" s="34">
        <v>210</v>
      </c>
      <c r="C22" s="34">
        <v>1.1850000000000001</v>
      </c>
      <c r="D22" s="34">
        <v>406.13760000000002</v>
      </c>
      <c r="E22" s="34">
        <v>481.23532</v>
      </c>
      <c r="F22" s="34">
        <v>0</v>
      </c>
      <c r="G22" s="5">
        <f t="shared" si="0"/>
        <v>1.1292016666666667</v>
      </c>
    </row>
    <row r="23" spans="1:9" x14ac:dyDescent="0.3">
      <c r="A23" s="33">
        <v>46003.452233796299</v>
      </c>
      <c r="B23" s="34">
        <v>220</v>
      </c>
      <c r="C23" s="34">
        <v>1.1837</v>
      </c>
      <c r="D23" s="34">
        <v>405.38760000000002</v>
      </c>
      <c r="E23" s="34">
        <v>479.98534999999998</v>
      </c>
      <c r="F23" s="34">
        <v>0</v>
      </c>
      <c r="G23" s="5">
        <f t="shared" si="0"/>
        <v>1.1271183333333334</v>
      </c>
    </row>
    <row r="24" spans="1:9" x14ac:dyDescent="0.3">
      <c r="A24" s="33">
        <v>46003.452349537038</v>
      </c>
      <c r="B24" s="34">
        <v>230</v>
      </c>
      <c r="C24" s="34">
        <v>1.18</v>
      </c>
      <c r="D24" s="34">
        <v>404.6626</v>
      </c>
      <c r="E24" s="34">
        <v>477.48541</v>
      </c>
      <c r="F24" s="34">
        <v>0</v>
      </c>
      <c r="G24" s="5">
        <f t="shared" si="0"/>
        <v>1.1250697222222223</v>
      </c>
    </row>
    <row r="25" spans="1:9" x14ac:dyDescent="0.3">
      <c r="A25" s="33">
        <v>46003.452465277776</v>
      </c>
      <c r="B25" s="34">
        <v>240</v>
      </c>
      <c r="C25" s="34">
        <v>1.1787000000000001</v>
      </c>
      <c r="D25" s="34">
        <v>403.93770000000001</v>
      </c>
      <c r="E25" s="34">
        <v>476.23547000000002</v>
      </c>
      <c r="F25" s="34">
        <v>0</v>
      </c>
      <c r="G25" s="5">
        <f t="shared" si="0"/>
        <v>1.1230559722222224</v>
      </c>
    </row>
    <row r="26" spans="1:9" x14ac:dyDescent="0.3">
      <c r="A26" s="33">
        <v>46003.452581018515</v>
      </c>
      <c r="B26" s="34">
        <v>250</v>
      </c>
      <c r="C26" s="34">
        <v>1.1761999999999999</v>
      </c>
      <c r="D26" s="34">
        <v>403.2627</v>
      </c>
      <c r="E26" s="34">
        <v>474.36052999999998</v>
      </c>
      <c r="F26" s="34">
        <v>0</v>
      </c>
      <c r="G26" s="5">
        <f t="shared" si="0"/>
        <v>1.1211116666666667</v>
      </c>
    </row>
    <row r="27" spans="1:9" x14ac:dyDescent="0.3">
      <c r="A27" s="33">
        <v>46003.452696759261</v>
      </c>
      <c r="B27" s="34">
        <v>260</v>
      </c>
      <c r="C27" s="34">
        <v>1.1737</v>
      </c>
      <c r="D27" s="34">
        <v>402.61270000000002</v>
      </c>
      <c r="E27" s="34">
        <v>471.86059999999998</v>
      </c>
      <c r="F27" s="34">
        <v>0</v>
      </c>
      <c r="G27" s="5">
        <f t="shared" si="0"/>
        <v>1.119271388888889</v>
      </c>
    </row>
    <row r="28" spans="1:9" x14ac:dyDescent="0.3">
      <c r="A28" s="33">
        <v>46003.4528125</v>
      </c>
      <c r="B28" s="34">
        <v>270</v>
      </c>
      <c r="C28" s="34">
        <v>1.1725000000000001</v>
      </c>
      <c r="D28" s="34">
        <v>401.96269999999998</v>
      </c>
      <c r="E28" s="34">
        <v>471.23563000000001</v>
      </c>
      <c r="F28" s="34">
        <v>0</v>
      </c>
      <c r="G28" s="5">
        <f t="shared" si="0"/>
        <v>1.1174658333333334</v>
      </c>
      <c r="I28" s="72">
        <f>(C37-C28)/(D28/1000)</f>
        <v>0.68737721186567802</v>
      </c>
    </row>
    <row r="29" spans="1:9" x14ac:dyDescent="0.3">
      <c r="A29" s="33">
        <v>46003.452928240738</v>
      </c>
      <c r="B29" s="34">
        <v>280</v>
      </c>
      <c r="C29" s="34">
        <v>1.4161999999999999</v>
      </c>
      <c r="D29" s="34">
        <v>0</v>
      </c>
      <c r="E29" s="34">
        <v>0</v>
      </c>
      <c r="F29" s="34">
        <v>1</v>
      </c>
      <c r="G29" s="5">
        <f t="shared" si="0"/>
        <v>0.55828152777777773</v>
      </c>
    </row>
    <row r="30" spans="1:9" x14ac:dyDescent="0.3">
      <c r="A30" s="33">
        <v>46003.453043981484</v>
      </c>
      <c r="B30" s="34">
        <v>290</v>
      </c>
      <c r="C30" s="34">
        <v>1.425</v>
      </c>
      <c r="D30" s="34">
        <v>0</v>
      </c>
      <c r="E30" s="34">
        <v>0</v>
      </c>
      <c r="F30" s="34">
        <v>1</v>
      </c>
      <c r="G30" s="5">
        <f t="shared" si="0"/>
        <v>0</v>
      </c>
    </row>
    <row r="31" spans="1:9" x14ac:dyDescent="0.3">
      <c r="A31" s="33">
        <v>46003.453159722223</v>
      </c>
      <c r="B31" s="34">
        <v>300</v>
      </c>
      <c r="C31" s="34">
        <v>1.4312</v>
      </c>
      <c r="D31" s="34">
        <v>0</v>
      </c>
      <c r="E31" s="34">
        <v>0</v>
      </c>
      <c r="F31" s="34">
        <v>1</v>
      </c>
      <c r="G31" s="5">
        <f t="shared" si="0"/>
        <v>0</v>
      </c>
    </row>
    <row r="32" spans="1:9" x14ac:dyDescent="0.3">
      <c r="A32" s="33">
        <v>46003.453275462962</v>
      </c>
      <c r="B32" s="34">
        <v>310</v>
      </c>
      <c r="C32" s="34">
        <v>1.4361999999999999</v>
      </c>
      <c r="D32" s="34">
        <v>0</v>
      </c>
      <c r="E32" s="34">
        <v>0</v>
      </c>
      <c r="F32" s="34">
        <v>1</v>
      </c>
      <c r="G32" s="5">
        <f t="shared" si="0"/>
        <v>0</v>
      </c>
    </row>
    <row r="33" spans="1:7" x14ac:dyDescent="0.3">
      <c r="A33" s="33">
        <v>46003.4533912037</v>
      </c>
      <c r="B33" s="34">
        <v>320</v>
      </c>
      <c r="C33" s="34">
        <v>1.4375</v>
      </c>
      <c r="D33" s="34">
        <v>0</v>
      </c>
      <c r="E33" s="34">
        <v>0</v>
      </c>
      <c r="F33" s="34">
        <v>1</v>
      </c>
      <c r="G33" s="5">
        <f t="shared" si="0"/>
        <v>0</v>
      </c>
    </row>
    <row r="34" spans="1:7" x14ac:dyDescent="0.3">
      <c r="A34" s="33">
        <v>46003.453506944446</v>
      </c>
      <c r="B34" s="34">
        <v>330</v>
      </c>
      <c r="C34" s="34">
        <v>1.4412</v>
      </c>
      <c r="D34" s="34">
        <v>0</v>
      </c>
      <c r="E34" s="34">
        <v>0</v>
      </c>
      <c r="F34" s="34">
        <v>1</v>
      </c>
      <c r="G34" s="5">
        <f t="shared" si="0"/>
        <v>0</v>
      </c>
    </row>
    <row r="35" spans="1:7" x14ac:dyDescent="0.3">
      <c r="A35" s="33">
        <v>46003.453622685185</v>
      </c>
      <c r="B35" s="34">
        <v>340</v>
      </c>
      <c r="C35" s="34">
        <v>1.4438</v>
      </c>
      <c r="D35" s="34">
        <v>0</v>
      </c>
      <c r="E35" s="34">
        <v>0</v>
      </c>
      <c r="F35" s="34">
        <v>1</v>
      </c>
      <c r="G35" s="5">
        <f t="shared" si="0"/>
        <v>0</v>
      </c>
    </row>
    <row r="36" spans="1:7" x14ac:dyDescent="0.3">
      <c r="A36" s="33">
        <v>46003.453738425924</v>
      </c>
      <c r="B36" s="34">
        <v>350</v>
      </c>
      <c r="C36" s="34">
        <v>1.4461999999999999</v>
      </c>
      <c r="D36" s="34">
        <v>0</v>
      </c>
      <c r="E36" s="34">
        <v>0</v>
      </c>
      <c r="F36" s="34">
        <v>1</v>
      </c>
      <c r="G36" s="5">
        <f t="shared" si="0"/>
        <v>0</v>
      </c>
    </row>
    <row r="37" spans="1:7" x14ac:dyDescent="0.3">
      <c r="A37" s="33">
        <v>46003.45385416667</v>
      </c>
      <c r="B37" s="34">
        <v>360</v>
      </c>
      <c r="C37" s="34">
        <v>1.4488000000000001</v>
      </c>
      <c r="D37" s="34">
        <v>0</v>
      </c>
      <c r="E37" s="34">
        <v>0</v>
      </c>
      <c r="F37" s="34">
        <v>1</v>
      </c>
      <c r="G37" s="5">
        <f t="shared" si="0"/>
        <v>0</v>
      </c>
    </row>
    <row r="38" spans="1:7" x14ac:dyDescent="0.3">
      <c r="A38" s="33">
        <v>46003.453969907408</v>
      </c>
      <c r="B38" s="34">
        <v>370</v>
      </c>
      <c r="C38" s="34">
        <v>1.1961999999999999</v>
      </c>
      <c r="D38" s="34">
        <v>409.21249999999998</v>
      </c>
      <c r="E38" s="34">
        <v>489.36007999999998</v>
      </c>
      <c r="F38" s="34">
        <v>0</v>
      </c>
      <c r="G38" s="5">
        <f t="shared" si="0"/>
        <v>0.56835069444444442</v>
      </c>
    </row>
    <row r="39" spans="1:7" x14ac:dyDescent="0.3">
      <c r="A39" s="33">
        <v>46003.454085648147</v>
      </c>
      <c r="B39" s="34">
        <v>380</v>
      </c>
      <c r="C39" s="34">
        <v>1.1875</v>
      </c>
      <c r="D39" s="34">
        <v>406.4126</v>
      </c>
      <c r="E39" s="34">
        <v>482.48529000000002</v>
      </c>
      <c r="F39" s="34">
        <v>0</v>
      </c>
      <c r="G39" s="5">
        <f t="shared" si="0"/>
        <v>1.1328126388888888</v>
      </c>
    </row>
    <row r="40" spans="1:7" x14ac:dyDescent="0.3">
      <c r="A40" s="33">
        <v>46003.454201388886</v>
      </c>
      <c r="B40" s="34">
        <v>390</v>
      </c>
      <c r="C40" s="34">
        <v>1.1812</v>
      </c>
      <c r="D40" s="34">
        <v>404.6626</v>
      </c>
      <c r="E40" s="34">
        <v>478.11041</v>
      </c>
      <c r="F40" s="34">
        <v>0</v>
      </c>
      <c r="G40" s="5">
        <f t="shared" si="0"/>
        <v>1.1264933333333333</v>
      </c>
    </row>
    <row r="41" spans="1:7" x14ac:dyDescent="0.3">
      <c r="A41" s="33">
        <v>46003.454317129632</v>
      </c>
      <c r="B41" s="34">
        <v>400</v>
      </c>
      <c r="C41" s="34">
        <v>1.1775</v>
      </c>
      <c r="D41" s="34">
        <v>403.2627</v>
      </c>
      <c r="E41" s="34">
        <v>474.9855</v>
      </c>
      <c r="F41" s="34">
        <v>0</v>
      </c>
      <c r="G41" s="5">
        <f t="shared" si="0"/>
        <v>1.1221184722222222</v>
      </c>
    </row>
    <row r="42" spans="1:7" x14ac:dyDescent="0.3">
      <c r="A42" s="33">
        <v>46003.454432870371</v>
      </c>
      <c r="B42" s="34">
        <v>410</v>
      </c>
      <c r="C42" s="34">
        <v>1.1737</v>
      </c>
      <c r="D42" s="34">
        <v>402.1377</v>
      </c>
      <c r="E42" s="34">
        <v>471.86059999999998</v>
      </c>
      <c r="F42" s="34">
        <v>0</v>
      </c>
      <c r="G42" s="5">
        <f t="shared" si="0"/>
        <v>1.1186116666666668</v>
      </c>
    </row>
    <row r="43" spans="1:7" x14ac:dyDescent="0.3">
      <c r="A43" s="33">
        <v>46003.454548611109</v>
      </c>
      <c r="B43" s="34">
        <v>420</v>
      </c>
      <c r="C43" s="34">
        <v>1.17</v>
      </c>
      <c r="D43" s="34">
        <v>401.13780000000003</v>
      </c>
      <c r="E43" s="34">
        <v>468.73568999999998</v>
      </c>
      <c r="F43" s="34">
        <v>0</v>
      </c>
      <c r="G43" s="5">
        <f t="shared" si="0"/>
        <v>1.1156604166666666</v>
      </c>
    </row>
    <row r="44" spans="1:7" x14ac:dyDescent="0.3">
      <c r="A44" s="33">
        <v>46003.454664351855</v>
      </c>
      <c r="B44" s="34">
        <v>430</v>
      </c>
      <c r="C44" s="34">
        <v>1.1687000000000001</v>
      </c>
      <c r="D44" s="34">
        <v>400.21280000000002</v>
      </c>
      <c r="E44" s="34">
        <v>468.11072000000001</v>
      </c>
      <c r="F44" s="34">
        <v>0</v>
      </c>
      <c r="G44" s="5">
        <f t="shared" si="0"/>
        <v>1.1129869444444445</v>
      </c>
    </row>
    <row r="45" spans="1:7" x14ac:dyDescent="0.3">
      <c r="A45" s="33">
        <v>46003.454780092594</v>
      </c>
      <c r="B45" s="34">
        <v>440</v>
      </c>
      <c r="C45" s="34">
        <v>1.165</v>
      </c>
      <c r="D45" s="34">
        <v>399.38780000000003</v>
      </c>
      <c r="E45" s="34">
        <v>464.98581000000001</v>
      </c>
      <c r="F45" s="34">
        <v>0</v>
      </c>
      <c r="G45" s="5">
        <f t="shared" si="0"/>
        <v>1.110556388888889</v>
      </c>
    </row>
    <row r="46" spans="1:7" x14ac:dyDescent="0.3">
      <c r="A46" s="33">
        <v>46003.454895833333</v>
      </c>
      <c r="B46" s="34">
        <v>450</v>
      </c>
      <c r="C46" s="34">
        <v>1.1625000000000001</v>
      </c>
      <c r="D46" s="34">
        <v>398.61279999999999</v>
      </c>
      <c r="E46" s="34">
        <v>463.11086999999998</v>
      </c>
      <c r="F46" s="34">
        <v>0</v>
      </c>
      <c r="G46" s="5">
        <f t="shared" si="0"/>
        <v>1.1083341666666668</v>
      </c>
    </row>
    <row r="47" spans="1:7" x14ac:dyDescent="0.3">
      <c r="A47" s="33">
        <v>46003.455011574071</v>
      </c>
      <c r="B47" s="34">
        <v>460</v>
      </c>
      <c r="C47" s="34">
        <v>1.1599999999999999</v>
      </c>
      <c r="D47" s="34">
        <v>397.9128</v>
      </c>
      <c r="E47" s="34">
        <v>461.23593</v>
      </c>
      <c r="F47" s="34">
        <v>0</v>
      </c>
      <c r="G47" s="5">
        <f t="shared" si="0"/>
        <v>1.1062855555555555</v>
      </c>
    </row>
    <row r="48" spans="1:7" x14ac:dyDescent="0.3">
      <c r="A48" s="33">
        <v>46003.455127314817</v>
      </c>
      <c r="B48" s="34">
        <v>470</v>
      </c>
      <c r="C48" s="34">
        <v>1.1599999999999999</v>
      </c>
      <c r="D48" s="34">
        <v>397.21289999999999</v>
      </c>
      <c r="E48" s="34">
        <v>460.61093</v>
      </c>
      <c r="F48" s="34">
        <v>0</v>
      </c>
      <c r="G48" s="5">
        <f t="shared" si="0"/>
        <v>1.1043412500000001</v>
      </c>
    </row>
    <row r="49" spans="1:7" x14ac:dyDescent="0.3">
      <c r="A49" s="33">
        <v>46003.455243055556</v>
      </c>
      <c r="B49" s="34">
        <v>480</v>
      </c>
      <c r="C49" s="34">
        <v>1.1563000000000001</v>
      </c>
      <c r="D49" s="34">
        <v>396.53789999999998</v>
      </c>
      <c r="E49" s="34">
        <v>458.73599000000002</v>
      </c>
      <c r="F49" s="34">
        <v>0</v>
      </c>
      <c r="G49" s="5">
        <f t="shared" si="0"/>
        <v>1.1024316666666667</v>
      </c>
    </row>
    <row r="50" spans="1:7" x14ac:dyDescent="0.3">
      <c r="A50" s="33">
        <v>46003.455358796295</v>
      </c>
      <c r="B50" s="34">
        <v>490</v>
      </c>
      <c r="C50" s="34">
        <v>1.1536999999999999</v>
      </c>
      <c r="D50" s="34">
        <v>395.86290000000002</v>
      </c>
      <c r="E50" s="34">
        <v>456.86104999999998</v>
      </c>
      <c r="F50" s="34">
        <v>0</v>
      </c>
      <c r="G50" s="5">
        <f t="shared" si="0"/>
        <v>1.1005566666666666</v>
      </c>
    </row>
    <row r="51" spans="1:7" x14ac:dyDescent="0.3">
      <c r="A51" s="33">
        <v>46003.455474537041</v>
      </c>
      <c r="B51" s="34">
        <v>500</v>
      </c>
      <c r="C51" s="34">
        <v>1.1525000000000001</v>
      </c>
      <c r="D51" s="34">
        <v>395.23790000000002</v>
      </c>
      <c r="E51" s="34">
        <v>454.98611</v>
      </c>
      <c r="F51" s="34">
        <v>0</v>
      </c>
      <c r="G51" s="5">
        <f t="shared" si="0"/>
        <v>1.0987511111111112</v>
      </c>
    </row>
    <row r="52" spans="1:7" x14ac:dyDescent="0.3">
      <c r="A52" s="33">
        <v>46003.455590277779</v>
      </c>
      <c r="B52" s="34">
        <v>510</v>
      </c>
      <c r="C52" s="34">
        <v>1.1499999999999999</v>
      </c>
      <c r="D52" s="34">
        <v>394.61290000000002</v>
      </c>
      <c r="E52" s="34">
        <v>453.73615000000001</v>
      </c>
      <c r="F52" s="34">
        <v>0</v>
      </c>
      <c r="G52" s="5">
        <f t="shared" si="0"/>
        <v>1.0970150000000001</v>
      </c>
    </row>
    <row r="53" spans="1:7" x14ac:dyDescent="0.3">
      <c r="A53" s="33">
        <v>46003.455706018518</v>
      </c>
      <c r="B53" s="34">
        <v>520</v>
      </c>
      <c r="C53" s="34">
        <v>1.1487000000000001</v>
      </c>
      <c r="D53" s="34">
        <v>394.01299999999998</v>
      </c>
      <c r="E53" s="34">
        <v>452.48621000000003</v>
      </c>
      <c r="F53" s="34">
        <v>0</v>
      </c>
      <c r="G53" s="5">
        <f t="shared" si="0"/>
        <v>1.0953137500000001</v>
      </c>
    </row>
    <row r="54" spans="1:7" x14ac:dyDescent="0.3">
      <c r="A54" s="33">
        <v>46003.455821759257</v>
      </c>
      <c r="B54" s="34">
        <v>530</v>
      </c>
      <c r="C54" s="34">
        <v>1.1463000000000001</v>
      </c>
      <c r="D54" s="34">
        <v>393.41300000000001</v>
      </c>
      <c r="E54" s="34">
        <v>451.23624000000001</v>
      </c>
      <c r="F54" s="34">
        <v>0</v>
      </c>
      <c r="G54" s="5">
        <f t="shared" si="0"/>
        <v>1.0936472222222222</v>
      </c>
    </row>
    <row r="55" spans="1:7" x14ac:dyDescent="0.3">
      <c r="A55" s="33">
        <v>46003.455937500003</v>
      </c>
      <c r="B55" s="34">
        <v>540</v>
      </c>
      <c r="C55" s="34">
        <v>1.145</v>
      </c>
      <c r="D55" s="34">
        <v>392.83800000000002</v>
      </c>
      <c r="E55" s="34">
        <v>449.36130000000003</v>
      </c>
      <c r="F55" s="34">
        <v>0</v>
      </c>
      <c r="G55" s="5">
        <f t="shared" si="0"/>
        <v>1.0920152777777778</v>
      </c>
    </row>
    <row r="56" spans="1:7" x14ac:dyDescent="0.3">
      <c r="A56" s="33">
        <v>46003.456053240741</v>
      </c>
      <c r="B56" s="34">
        <v>550</v>
      </c>
      <c r="C56" s="34">
        <v>1.1425000000000001</v>
      </c>
      <c r="D56" s="34">
        <v>392.28800000000001</v>
      </c>
      <c r="E56" s="34">
        <v>448.73630000000003</v>
      </c>
      <c r="F56" s="34">
        <v>0</v>
      </c>
      <c r="G56" s="5">
        <f t="shared" si="0"/>
        <v>1.0904527777777777</v>
      </c>
    </row>
    <row r="57" spans="1:7" x14ac:dyDescent="0.3">
      <c r="A57" s="33">
        <v>46003.45616898148</v>
      </c>
      <c r="B57" s="34">
        <v>560</v>
      </c>
      <c r="C57" s="34">
        <v>1.1413</v>
      </c>
      <c r="D57" s="34">
        <v>391.76299999999998</v>
      </c>
      <c r="E57" s="34">
        <v>447.48633000000001</v>
      </c>
      <c r="F57" s="34">
        <v>0</v>
      </c>
      <c r="G57" s="5">
        <f t="shared" si="0"/>
        <v>1.0889597222222223</v>
      </c>
    </row>
    <row r="58" spans="1:7" x14ac:dyDescent="0.3">
      <c r="A58" s="33">
        <v>46003.456284722219</v>
      </c>
      <c r="B58" s="34">
        <v>570</v>
      </c>
      <c r="C58" s="34">
        <v>1.1387</v>
      </c>
      <c r="D58" s="34">
        <v>391.238</v>
      </c>
      <c r="E58" s="34">
        <v>445.61138999999997</v>
      </c>
      <c r="F58" s="34">
        <v>0</v>
      </c>
      <c r="G58" s="5">
        <f t="shared" si="0"/>
        <v>1.0875013888888889</v>
      </c>
    </row>
    <row r="59" spans="1:7" x14ac:dyDescent="0.3">
      <c r="A59" s="33">
        <v>46003.456400462965</v>
      </c>
      <c r="B59" s="34">
        <v>580</v>
      </c>
      <c r="C59" s="34">
        <v>1.1387</v>
      </c>
      <c r="D59" s="34">
        <v>390.73809999999997</v>
      </c>
      <c r="E59" s="34">
        <v>444.98642000000001</v>
      </c>
      <c r="F59" s="34">
        <v>0</v>
      </c>
      <c r="G59" s="5">
        <f t="shared" si="0"/>
        <v>1.0860779166666668</v>
      </c>
    </row>
    <row r="60" spans="1:7" x14ac:dyDescent="0.3">
      <c r="A60" s="33">
        <v>46003.456516203703</v>
      </c>
      <c r="B60" s="34">
        <v>590</v>
      </c>
      <c r="C60" s="34">
        <v>1.1375</v>
      </c>
      <c r="D60" s="34">
        <v>390.26310000000001</v>
      </c>
      <c r="E60" s="34">
        <v>443.11147999999997</v>
      </c>
      <c r="F60" s="34">
        <v>0</v>
      </c>
      <c r="G60" s="5">
        <f t="shared" si="0"/>
        <v>1.0847238888888888</v>
      </c>
    </row>
    <row r="61" spans="1:7" x14ac:dyDescent="0.3">
      <c r="A61" s="33">
        <v>46003.456631944442</v>
      </c>
      <c r="B61" s="34">
        <v>600</v>
      </c>
      <c r="C61" s="34">
        <v>1.135</v>
      </c>
      <c r="D61" s="34">
        <v>389.78809999999999</v>
      </c>
      <c r="E61" s="34">
        <v>442.48651000000001</v>
      </c>
      <c r="F61" s="34">
        <v>0</v>
      </c>
      <c r="G61" s="5">
        <f t="shared" si="0"/>
        <v>1.0834044444444444</v>
      </c>
    </row>
    <row r="62" spans="1:7" x14ac:dyDescent="0.3">
      <c r="A62" s="33">
        <v>46003.456747685188</v>
      </c>
      <c r="B62" s="34">
        <v>610</v>
      </c>
      <c r="C62" s="34">
        <v>1.135</v>
      </c>
      <c r="D62" s="34">
        <v>389.3381</v>
      </c>
      <c r="E62" s="34">
        <v>441.23653999999999</v>
      </c>
      <c r="F62" s="34">
        <v>0</v>
      </c>
      <c r="G62" s="5">
        <f t="shared" si="0"/>
        <v>1.0821197222222221</v>
      </c>
    </row>
    <row r="63" spans="1:7" x14ac:dyDescent="0.3">
      <c r="A63" s="33">
        <v>46003.456863425927</v>
      </c>
      <c r="B63" s="34">
        <v>620</v>
      </c>
      <c r="C63" s="34">
        <v>1.1325000000000001</v>
      </c>
      <c r="D63" s="34">
        <v>388.88810000000001</v>
      </c>
      <c r="E63" s="34">
        <v>440.61153999999999</v>
      </c>
      <c r="F63" s="34">
        <v>0</v>
      </c>
      <c r="G63" s="5">
        <f t="shared" si="0"/>
        <v>1.0808697222222223</v>
      </c>
    </row>
    <row r="64" spans="1:7" x14ac:dyDescent="0.3">
      <c r="A64" s="33">
        <v>46003.456979166665</v>
      </c>
      <c r="B64" s="34">
        <v>630</v>
      </c>
      <c r="C64" s="34">
        <v>1.1313</v>
      </c>
      <c r="D64" s="34">
        <v>388.4631</v>
      </c>
      <c r="E64" s="34">
        <v>439.36160000000001</v>
      </c>
      <c r="F64" s="34">
        <v>0</v>
      </c>
      <c r="G64" s="5">
        <f t="shared" si="0"/>
        <v>1.0796544444444445</v>
      </c>
    </row>
    <row r="65" spans="1:7" x14ac:dyDescent="0.3">
      <c r="A65" s="33">
        <v>46003.457094907404</v>
      </c>
      <c r="B65" s="34">
        <v>640</v>
      </c>
      <c r="C65" s="34">
        <v>1.1287</v>
      </c>
      <c r="D65" s="34">
        <v>388.06310000000002</v>
      </c>
      <c r="E65" s="34">
        <v>438.11162999999999</v>
      </c>
      <c r="F65" s="34">
        <v>0</v>
      </c>
      <c r="G65" s="5">
        <f t="shared" si="0"/>
        <v>1.0785086111111111</v>
      </c>
    </row>
    <row r="66" spans="1:7" x14ac:dyDescent="0.3">
      <c r="A66" s="33">
        <v>46003.45721064815</v>
      </c>
      <c r="B66" s="34">
        <v>650</v>
      </c>
      <c r="C66" s="34">
        <v>1.1287</v>
      </c>
      <c r="D66" s="34">
        <v>387.63819999999998</v>
      </c>
      <c r="E66" s="34">
        <v>437.48662999999999</v>
      </c>
      <c r="F66" s="34">
        <v>0</v>
      </c>
      <c r="G66" s="5">
        <f t="shared" si="0"/>
        <v>1.0773629166666667</v>
      </c>
    </row>
    <row r="67" spans="1:7" x14ac:dyDescent="0.3">
      <c r="A67" s="33">
        <v>46003.457326388889</v>
      </c>
      <c r="B67" s="34">
        <v>660</v>
      </c>
      <c r="C67" s="34">
        <v>1.1274999999999999</v>
      </c>
      <c r="D67" s="34">
        <v>387.26319999999998</v>
      </c>
      <c r="E67" s="34">
        <v>436.23669000000001</v>
      </c>
      <c r="F67" s="34">
        <v>0</v>
      </c>
      <c r="G67" s="5">
        <f t="shared" si="0"/>
        <v>1.0762519444444445</v>
      </c>
    </row>
    <row r="68" spans="1:7" x14ac:dyDescent="0.3">
      <c r="A68" s="33">
        <v>46003.457442129627</v>
      </c>
      <c r="B68" s="34">
        <v>670</v>
      </c>
      <c r="C68" s="34">
        <v>1.365</v>
      </c>
      <c r="D68" s="34">
        <v>0</v>
      </c>
      <c r="E68" s="34">
        <v>0</v>
      </c>
      <c r="F68" s="34">
        <v>1</v>
      </c>
      <c r="G68" s="5">
        <f t="shared" si="0"/>
        <v>0.5378655555555556</v>
      </c>
    </row>
    <row r="69" spans="1:7" x14ac:dyDescent="0.3">
      <c r="A69" s="33">
        <v>46003.457557870373</v>
      </c>
      <c r="B69" s="34">
        <v>680</v>
      </c>
      <c r="C69" s="34">
        <v>1.3736999999999999</v>
      </c>
      <c r="D69" s="34">
        <v>0</v>
      </c>
      <c r="E69" s="34">
        <v>0</v>
      </c>
      <c r="F69" s="34">
        <v>1</v>
      </c>
      <c r="G69" s="5">
        <f t="shared" si="0"/>
        <v>0</v>
      </c>
    </row>
    <row r="70" spans="1:7" x14ac:dyDescent="0.3">
      <c r="A70" s="33">
        <v>46003.457673611112</v>
      </c>
      <c r="B70" s="34">
        <v>690</v>
      </c>
      <c r="C70" s="34">
        <v>1.3787</v>
      </c>
      <c r="D70" s="34">
        <v>0</v>
      </c>
      <c r="E70" s="34">
        <v>0</v>
      </c>
      <c r="F70" s="34">
        <v>1</v>
      </c>
      <c r="G70" s="5">
        <f t="shared" si="0"/>
        <v>0</v>
      </c>
    </row>
    <row r="71" spans="1:7" x14ac:dyDescent="0.3">
      <c r="A71" s="33">
        <v>46003.457789351851</v>
      </c>
      <c r="B71" s="34">
        <v>700</v>
      </c>
      <c r="C71" s="34">
        <v>1.3836999999999999</v>
      </c>
      <c r="D71" s="34">
        <v>0</v>
      </c>
      <c r="E71" s="34">
        <v>0</v>
      </c>
      <c r="F71" s="34">
        <v>1</v>
      </c>
      <c r="G71" s="5">
        <f t="shared" ref="G71:G134" si="1">($B$2/3600)*((D70+D71)/2)</f>
        <v>0</v>
      </c>
    </row>
    <row r="72" spans="1:7" x14ac:dyDescent="0.3">
      <c r="A72" s="33">
        <v>46003.457905092589</v>
      </c>
      <c r="B72" s="34">
        <v>710</v>
      </c>
      <c r="C72" s="34">
        <v>1.3875</v>
      </c>
      <c r="D72" s="34">
        <v>0</v>
      </c>
      <c r="E72" s="34">
        <v>0</v>
      </c>
      <c r="F72" s="34">
        <v>1</v>
      </c>
      <c r="G72" s="5">
        <f t="shared" si="1"/>
        <v>0</v>
      </c>
    </row>
    <row r="73" spans="1:7" x14ac:dyDescent="0.3">
      <c r="A73" s="33">
        <v>46003.458020833335</v>
      </c>
      <c r="B73" s="34">
        <v>720</v>
      </c>
      <c r="C73" s="34">
        <v>1.39</v>
      </c>
      <c r="D73" s="34">
        <v>0</v>
      </c>
      <c r="E73" s="34">
        <v>0</v>
      </c>
      <c r="F73" s="34">
        <v>1</v>
      </c>
      <c r="G73" s="5">
        <f t="shared" si="1"/>
        <v>0</v>
      </c>
    </row>
    <row r="74" spans="1:7" x14ac:dyDescent="0.3">
      <c r="A74" s="33">
        <v>46003.458136574074</v>
      </c>
      <c r="B74" s="34">
        <v>730</v>
      </c>
      <c r="C74" s="34">
        <v>1.3925000000000001</v>
      </c>
      <c r="D74" s="34">
        <v>0</v>
      </c>
      <c r="E74" s="34">
        <v>0</v>
      </c>
      <c r="F74" s="34">
        <v>1</v>
      </c>
      <c r="G74" s="5">
        <f t="shared" si="1"/>
        <v>0</v>
      </c>
    </row>
    <row r="75" spans="1:7" x14ac:dyDescent="0.3">
      <c r="A75" s="33">
        <v>46003.458252314813</v>
      </c>
      <c r="B75" s="34">
        <v>740</v>
      </c>
      <c r="C75" s="34">
        <v>1.395</v>
      </c>
      <c r="D75" s="34">
        <v>0</v>
      </c>
      <c r="E75" s="34">
        <v>0</v>
      </c>
      <c r="F75" s="34">
        <v>1</v>
      </c>
      <c r="G75" s="5">
        <f t="shared" si="1"/>
        <v>0</v>
      </c>
    </row>
    <row r="76" spans="1:7" x14ac:dyDescent="0.3">
      <c r="A76" s="33">
        <v>46003.458368055559</v>
      </c>
      <c r="B76" s="34">
        <v>750</v>
      </c>
      <c r="C76" s="34">
        <v>1.3975</v>
      </c>
      <c r="D76" s="34">
        <v>0</v>
      </c>
      <c r="E76" s="34">
        <v>0</v>
      </c>
      <c r="F76" s="34">
        <v>1</v>
      </c>
      <c r="G76" s="5">
        <f t="shared" si="1"/>
        <v>0</v>
      </c>
    </row>
    <row r="77" spans="1:7" x14ac:dyDescent="0.3">
      <c r="A77" s="33">
        <v>46003.458483796298</v>
      </c>
      <c r="B77" s="34">
        <v>760</v>
      </c>
      <c r="C77" s="34">
        <v>1.1513</v>
      </c>
      <c r="D77" s="34">
        <v>394.83800000000002</v>
      </c>
      <c r="E77" s="34">
        <v>454.36115000000001</v>
      </c>
      <c r="F77" s="34">
        <v>0</v>
      </c>
      <c r="G77" s="5">
        <f t="shared" si="1"/>
        <v>0.54838611111111113</v>
      </c>
    </row>
    <row r="78" spans="1:7" x14ac:dyDescent="0.3">
      <c r="A78" s="33">
        <v>46003.458599537036</v>
      </c>
      <c r="B78" s="34">
        <v>770</v>
      </c>
      <c r="C78" s="34">
        <v>1.1436999999999999</v>
      </c>
      <c r="D78" s="34">
        <v>392.51299999999998</v>
      </c>
      <c r="E78" s="34">
        <v>448.73630000000003</v>
      </c>
      <c r="F78" s="34">
        <v>0</v>
      </c>
      <c r="G78" s="5">
        <f t="shared" si="1"/>
        <v>1.0935430555555556</v>
      </c>
    </row>
    <row r="79" spans="1:7" x14ac:dyDescent="0.3">
      <c r="A79" s="33">
        <v>46003.458715277775</v>
      </c>
      <c r="B79" s="34">
        <v>780</v>
      </c>
      <c r="C79" s="34">
        <v>1.1387</v>
      </c>
      <c r="D79" s="34">
        <v>391.03809999999999</v>
      </c>
      <c r="E79" s="34">
        <v>444.98642000000001</v>
      </c>
      <c r="F79" s="34">
        <v>0</v>
      </c>
      <c r="G79" s="5">
        <f t="shared" si="1"/>
        <v>1.0882654166666665</v>
      </c>
    </row>
    <row r="80" spans="1:7" x14ac:dyDescent="0.3">
      <c r="A80" s="33">
        <v>46003.458831018521</v>
      </c>
      <c r="B80" s="34">
        <v>790</v>
      </c>
      <c r="C80" s="34">
        <v>1.1363000000000001</v>
      </c>
      <c r="D80" s="34">
        <v>389.91309999999999</v>
      </c>
      <c r="E80" s="34">
        <v>443.11147999999997</v>
      </c>
      <c r="F80" s="34">
        <v>0</v>
      </c>
      <c r="G80" s="5">
        <f t="shared" si="1"/>
        <v>1.0846544444444444</v>
      </c>
    </row>
    <row r="81" spans="1:7" x14ac:dyDescent="0.3">
      <c r="A81" s="33">
        <v>46003.45894675926</v>
      </c>
      <c r="B81" s="34">
        <v>800</v>
      </c>
      <c r="C81" s="34">
        <v>1.1325000000000001</v>
      </c>
      <c r="D81" s="34">
        <v>388.9631</v>
      </c>
      <c r="E81" s="34">
        <v>440.61153999999999</v>
      </c>
      <c r="F81" s="34">
        <v>0</v>
      </c>
      <c r="G81" s="5">
        <f t="shared" si="1"/>
        <v>1.0817725</v>
      </c>
    </row>
    <row r="82" spans="1:7" x14ac:dyDescent="0.3">
      <c r="A82" s="33">
        <v>46003.459062499998</v>
      </c>
      <c r="B82" s="34">
        <v>810</v>
      </c>
      <c r="C82" s="34">
        <v>1.1299999999999999</v>
      </c>
      <c r="D82" s="34">
        <v>388.13819999999998</v>
      </c>
      <c r="E82" s="34">
        <v>438.73660000000001</v>
      </c>
      <c r="F82" s="34">
        <v>0</v>
      </c>
      <c r="G82" s="5">
        <f t="shared" si="1"/>
        <v>1.0793073611111113</v>
      </c>
    </row>
    <row r="83" spans="1:7" x14ac:dyDescent="0.3">
      <c r="A83" s="33">
        <v>46003.459178240744</v>
      </c>
      <c r="B83" s="34">
        <v>820</v>
      </c>
      <c r="C83" s="34">
        <v>1.1287</v>
      </c>
      <c r="D83" s="34">
        <v>387.43819999999999</v>
      </c>
      <c r="E83" s="34">
        <v>437.48662999999999</v>
      </c>
      <c r="F83" s="34">
        <v>0</v>
      </c>
      <c r="G83" s="5">
        <f t="shared" si="1"/>
        <v>1.0771894444444443</v>
      </c>
    </row>
    <row r="84" spans="1:7" x14ac:dyDescent="0.3">
      <c r="A84" s="33">
        <v>46003.459293981483</v>
      </c>
      <c r="B84" s="34">
        <v>830</v>
      </c>
      <c r="C84" s="34">
        <v>1.1263000000000001</v>
      </c>
      <c r="D84" s="34">
        <v>386.81319999999999</v>
      </c>
      <c r="E84" s="34">
        <v>434.98671999999999</v>
      </c>
      <c r="F84" s="34">
        <v>0</v>
      </c>
      <c r="G84" s="5">
        <f t="shared" si="1"/>
        <v>1.0753491666666668</v>
      </c>
    </row>
    <row r="85" spans="1:7" x14ac:dyDescent="0.3">
      <c r="A85" s="33">
        <v>46003.459409722222</v>
      </c>
      <c r="B85" s="34">
        <v>840</v>
      </c>
      <c r="C85" s="34">
        <v>1.1236999999999999</v>
      </c>
      <c r="D85" s="34">
        <v>386.26319999999998</v>
      </c>
      <c r="E85" s="34">
        <v>434.36176</v>
      </c>
      <c r="F85" s="34">
        <v>0</v>
      </c>
      <c r="G85" s="5">
        <f t="shared" si="1"/>
        <v>1.0737172222222222</v>
      </c>
    </row>
    <row r="86" spans="1:7" x14ac:dyDescent="0.3">
      <c r="A86" s="33">
        <v>46003.45952546296</v>
      </c>
      <c r="B86" s="34">
        <v>850</v>
      </c>
      <c r="C86" s="34">
        <v>1.1225000000000001</v>
      </c>
      <c r="D86" s="34">
        <v>385.73820000000001</v>
      </c>
      <c r="E86" s="34">
        <v>432.48682000000002</v>
      </c>
      <c r="F86" s="34">
        <v>0</v>
      </c>
      <c r="G86" s="5">
        <f t="shared" si="1"/>
        <v>1.0722241666666668</v>
      </c>
    </row>
    <row r="87" spans="1:7" x14ac:dyDescent="0.3">
      <c r="A87" s="33">
        <v>46003.459641203706</v>
      </c>
      <c r="B87" s="34">
        <v>860</v>
      </c>
      <c r="C87" s="34">
        <v>1.1200000000000001</v>
      </c>
      <c r="D87" s="34">
        <v>385.26319999999998</v>
      </c>
      <c r="E87" s="34">
        <v>431.23685</v>
      </c>
      <c r="F87" s="34">
        <v>0</v>
      </c>
      <c r="G87" s="5">
        <f t="shared" si="1"/>
        <v>1.0708352777777779</v>
      </c>
    </row>
    <row r="88" spans="1:7" x14ac:dyDescent="0.3">
      <c r="A88" s="33">
        <v>46003.459756944445</v>
      </c>
      <c r="B88" s="34">
        <v>870</v>
      </c>
      <c r="C88" s="34">
        <v>1.1213</v>
      </c>
      <c r="D88" s="34">
        <v>384.78820000000002</v>
      </c>
      <c r="E88" s="34">
        <v>431.23685</v>
      </c>
      <c r="F88" s="34">
        <v>0</v>
      </c>
      <c r="G88" s="5">
        <f t="shared" si="1"/>
        <v>1.0695158333333334</v>
      </c>
    </row>
    <row r="89" spans="1:7" x14ac:dyDescent="0.3">
      <c r="A89" s="33">
        <v>46003.459872685184</v>
      </c>
      <c r="B89" s="34">
        <v>880</v>
      </c>
      <c r="C89" s="34">
        <v>1.1200000000000001</v>
      </c>
      <c r="D89" s="34">
        <v>384.36329999999998</v>
      </c>
      <c r="E89" s="34">
        <v>429.98687999999999</v>
      </c>
      <c r="F89" s="34">
        <v>0</v>
      </c>
      <c r="G89" s="5">
        <f t="shared" si="1"/>
        <v>1.0682659722222221</v>
      </c>
    </row>
    <row r="90" spans="1:7" x14ac:dyDescent="0.3">
      <c r="A90" s="33">
        <v>46003.459988425922</v>
      </c>
      <c r="B90" s="34">
        <v>890</v>
      </c>
      <c r="C90" s="34">
        <v>1.1187</v>
      </c>
      <c r="D90" s="34">
        <v>383.9633</v>
      </c>
      <c r="E90" s="34">
        <v>429.36191000000002</v>
      </c>
      <c r="F90" s="34">
        <v>0</v>
      </c>
      <c r="G90" s="5">
        <f t="shared" si="1"/>
        <v>1.0671202777777777</v>
      </c>
    </row>
    <row r="91" spans="1:7" x14ac:dyDescent="0.3">
      <c r="A91" s="33">
        <v>46003.460104166668</v>
      </c>
      <c r="B91" s="34">
        <v>900</v>
      </c>
      <c r="C91" s="34">
        <v>1.1174999999999999</v>
      </c>
      <c r="D91" s="34">
        <v>383.56330000000003</v>
      </c>
      <c r="E91" s="34">
        <v>429.36191000000002</v>
      </c>
      <c r="F91" s="34">
        <v>0</v>
      </c>
      <c r="G91" s="5">
        <f t="shared" si="1"/>
        <v>1.0660091666666667</v>
      </c>
    </row>
    <row r="92" spans="1:7" x14ac:dyDescent="0.3">
      <c r="A92" s="33">
        <v>46003.460219907407</v>
      </c>
      <c r="B92" s="34">
        <v>910</v>
      </c>
      <c r="C92" s="34">
        <v>1.1162000000000001</v>
      </c>
      <c r="D92" s="34">
        <v>383.18830000000003</v>
      </c>
      <c r="E92" s="34">
        <v>428.11194</v>
      </c>
      <c r="F92" s="34">
        <v>0</v>
      </c>
      <c r="G92" s="5">
        <f t="shared" si="1"/>
        <v>1.064932777777778</v>
      </c>
    </row>
    <row r="93" spans="1:7" x14ac:dyDescent="0.3">
      <c r="A93" s="33">
        <v>46003.460347222222</v>
      </c>
      <c r="B93" s="34">
        <v>920</v>
      </c>
      <c r="C93" s="34">
        <v>1.115</v>
      </c>
      <c r="D93" s="34">
        <v>382.81330000000003</v>
      </c>
      <c r="E93" s="34">
        <v>426.86196999999999</v>
      </c>
      <c r="F93" s="34">
        <v>0</v>
      </c>
      <c r="G93" s="5">
        <f t="shared" si="1"/>
        <v>1.0638911111111111</v>
      </c>
    </row>
    <row r="94" spans="1:7" x14ac:dyDescent="0.3">
      <c r="A94" s="33">
        <v>46003.460462962961</v>
      </c>
      <c r="B94" s="34">
        <v>930</v>
      </c>
      <c r="C94" s="34">
        <v>1.1136999999999999</v>
      </c>
      <c r="D94" s="34">
        <v>382.48829999999998</v>
      </c>
      <c r="E94" s="34">
        <v>426.23700000000002</v>
      </c>
      <c r="F94" s="34">
        <v>0</v>
      </c>
      <c r="G94" s="5">
        <f t="shared" si="1"/>
        <v>1.062918888888889</v>
      </c>
    </row>
    <row r="95" spans="1:7" x14ac:dyDescent="0.3">
      <c r="A95" s="33">
        <v>46003.460578703707</v>
      </c>
      <c r="B95" s="34">
        <v>940</v>
      </c>
      <c r="C95" s="34">
        <v>1.1125</v>
      </c>
      <c r="D95" s="34">
        <v>382.16329999999999</v>
      </c>
      <c r="E95" s="34">
        <v>424.98703</v>
      </c>
      <c r="F95" s="34">
        <v>0</v>
      </c>
      <c r="G95" s="5">
        <f t="shared" si="1"/>
        <v>1.062016111111111</v>
      </c>
    </row>
    <row r="96" spans="1:7" x14ac:dyDescent="0.3">
      <c r="A96" s="33">
        <v>46003.460694444446</v>
      </c>
      <c r="B96" s="34">
        <v>950</v>
      </c>
      <c r="C96" s="34">
        <v>1.1112</v>
      </c>
      <c r="D96" s="34">
        <v>381.8383</v>
      </c>
      <c r="E96" s="34">
        <v>424.36205999999999</v>
      </c>
      <c r="F96" s="34">
        <v>0</v>
      </c>
      <c r="G96" s="5">
        <f t="shared" si="1"/>
        <v>1.0611133333333334</v>
      </c>
    </row>
    <row r="97" spans="1:7" x14ac:dyDescent="0.3">
      <c r="A97" s="33">
        <v>46003.460810185185</v>
      </c>
      <c r="B97" s="34">
        <v>960</v>
      </c>
      <c r="C97" s="34">
        <v>1.1100000000000001</v>
      </c>
      <c r="D97" s="34">
        <v>381.51330000000002</v>
      </c>
      <c r="E97" s="34">
        <v>423.73705999999999</v>
      </c>
      <c r="F97" s="34">
        <v>0</v>
      </c>
      <c r="G97" s="5">
        <f t="shared" si="1"/>
        <v>1.0602105555555554</v>
      </c>
    </row>
    <row r="98" spans="1:7" x14ac:dyDescent="0.3">
      <c r="A98" s="33">
        <v>46003.460925925923</v>
      </c>
      <c r="B98" s="34">
        <v>970</v>
      </c>
      <c r="C98" s="34">
        <v>1.1100000000000001</v>
      </c>
      <c r="D98" s="34">
        <v>381.23829999999998</v>
      </c>
      <c r="E98" s="34">
        <v>423.11209000000002</v>
      </c>
      <c r="F98" s="34">
        <v>0</v>
      </c>
      <c r="G98" s="5">
        <f t="shared" si="1"/>
        <v>1.0593772222222224</v>
      </c>
    </row>
    <row r="99" spans="1:7" x14ac:dyDescent="0.3">
      <c r="A99" s="33">
        <v>46003.461041666669</v>
      </c>
      <c r="B99" s="34">
        <v>980</v>
      </c>
      <c r="C99" s="34">
        <v>1.1087</v>
      </c>
      <c r="D99" s="34">
        <v>380.9384</v>
      </c>
      <c r="E99" s="34">
        <v>422.48712</v>
      </c>
      <c r="F99" s="34">
        <v>0</v>
      </c>
      <c r="G99" s="5">
        <f t="shared" si="1"/>
        <v>1.0585787500000001</v>
      </c>
    </row>
    <row r="100" spans="1:7" x14ac:dyDescent="0.3">
      <c r="A100" s="33">
        <v>46003.461157407408</v>
      </c>
      <c r="B100" s="34">
        <v>990</v>
      </c>
      <c r="C100" s="34">
        <v>1.1087</v>
      </c>
      <c r="D100" s="34">
        <v>380.63839999999999</v>
      </c>
      <c r="E100" s="34">
        <v>421.86212</v>
      </c>
      <c r="F100" s="34">
        <v>0</v>
      </c>
      <c r="G100" s="5">
        <f t="shared" si="1"/>
        <v>1.0577455555555557</v>
      </c>
    </row>
    <row r="101" spans="1:7" x14ac:dyDescent="0.3">
      <c r="A101" s="33">
        <v>46003.461273148147</v>
      </c>
      <c r="B101" s="34">
        <v>1000</v>
      </c>
      <c r="C101" s="34">
        <v>1.1074999999999999</v>
      </c>
      <c r="D101" s="34">
        <v>380.36340000000001</v>
      </c>
      <c r="E101" s="34">
        <v>420.61214999999999</v>
      </c>
      <c r="F101" s="34">
        <v>0</v>
      </c>
      <c r="G101" s="5">
        <f t="shared" si="1"/>
        <v>1.0569469444444446</v>
      </c>
    </row>
    <row r="102" spans="1:7" x14ac:dyDescent="0.3">
      <c r="A102" s="33">
        <v>46003.461388888885</v>
      </c>
      <c r="B102" s="34">
        <v>1010</v>
      </c>
      <c r="C102" s="34">
        <v>1.1062000000000001</v>
      </c>
      <c r="D102" s="34">
        <v>380.11340000000001</v>
      </c>
      <c r="E102" s="34">
        <v>420.61214999999999</v>
      </c>
      <c r="F102" s="34">
        <v>0</v>
      </c>
      <c r="G102" s="5">
        <f t="shared" si="1"/>
        <v>1.0562177777777779</v>
      </c>
    </row>
    <row r="103" spans="1:7" x14ac:dyDescent="0.3">
      <c r="A103" s="33">
        <v>46003.461504629631</v>
      </c>
      <c r="B103" s="34">
        <v>1020</v>
      </c>
      <c r="C103" s="34">
        <v>1.105</v>
      </c>
      <c r="D103" s="34">
        <v>379.83839999999998</v>
      </c>
      <c r="E103" s="34">
        <v>419.98718000000002</v>
      </c>
      <c r="F103" s="34">
        <v>0</v>
      </c>
      <c r="G103" s="5">
        <f t="shared" si="1"/>
        <v>1.0554886111111113</v>
      </c>
    </row>
    <row r="104" spans="1:7" x14ac:dyDescent="0.3">
      <c r="A104" s="33">
        <v>46003.46162037037</v>
      </c>
      <c r="B104" s="34">
        <v>1030</v>
      </c>
      <c r="C104" s="34">
        <v>1.1036999999999999</v>
      </c>
      <c r="D104" s="34">
        <v>379.5634</v>
      </c>
      <c r="E104" s="34">
        <v>419.36221</v>
      </c>
      <c r="F104" s="34">
        <v>0</v>
      </c>
      <c r="G104" s="5">
        <f t="shared" si="1"/>
        <v>1.0547247222222222</v>
      </c>
    </row>
    <row r="105" spans="1:7" x14ac:dyDescent="0.3">
      <c r="A105" s="33">
        <v>46003.461736111109</v>
      </c>
      <c r="B105" s="34">
        <v>1040</v>
      </c>
      <c r="C105" s="34">
        <v>1.1036999999999999</v>
      </c>
      <c r="D105" s="34">
        <v>379.28840000000002</v>
      </c>
      <c r="E105" s="34">
        <v>418.73721</v>
      </c>
      <c r="F105" s="34">
        <v>0</v>
      </c>
      <c r="G105" s="5">
        <f t="shared" si="1"/>
        <v>1.0539608333333335</v>
      </c>
    </row>
    <row r="106" spans="1:7" x14ac:dyDescent="0.3">
      <c r="A106" s="33">
        <v>46003.461851851855</v>
      </c>
      <c r="B106" s="34">
        <v>1050</v>
      </c>
      <c r="C106" s="34">
        <v>1.1036999999999999</v>
      </c>
      <c r="D106" s="34">
        <v>379.03840000000002</v>
      </c>
      <c r="E106" s="34">
        <v>418.11223999999999</v>
      </c>
      <c r="F106" s="34">
        <v>0</v>
      </c>
      <c r="G106" s="5">
        <f t="shared" si="1"/>
        <v>1.0532316666666668</v>
      </c>
    </row>
    <row r="107" spans="1:7" x14ac:dyDescent="0.3">
      <c r="A107" s="33">
        <v>46003.461967592593</v>
      </c>
      <c r="B107" s="34">
        <v>1060</v>
      </c>
      <c r="C107" s="34">
        <v>1.3388</v>
      </c>
      <c r="D107" s="34">
        <v>0</v>
      </c>
      <c r="E107" s="34">
        <v>0</v>
      </c>
      <c r="F107" s="34">
        <v>1</v>
      </c>
      <c r="G107" s="5">
        <f t="shared" si="1"/>
        <v>0.52644222222222226</v>
      </c>
    </row>
    <row r="108" spans="1:7" x14ac:dyDescent="0.3">
      <c r="A108" s="33">
        <v>46003.462083333332</v>
      </c>
      <c r="B108" s="34">
        <v>1070</v>
      </c>
      <c r="C108" s="34">
        <v>1.3474999999999999</v>
      </c>
      <c r="D108" s="34">
        <v>0</v>
      </c>
      <c r="E108" s="34">
        <v>0</v>
      </c>
      <c r="F108" s="34">
        <v>1</v>
      </c>
      <c r="G108" s="5">
        <f t="shared" si="1"/>
        <v>0</v>
      </c>
    </row>
    <row r="109" spans="1:7" x14ac:dyDescent="0.3">
      <c r="A109" s="33">
        <v>46003.462199074071</v>
      </c>
      <c r="B109" s="34">
        <v>1080</v>
      </c>
      <c r="C109" s="34">
        <v>1.3536999999999999</v>
      </c>
      <c r="D109" s="34">
        <v>0</v>
      </c>
      <c r="E109" s="34">
        <v>0</v>
      </c>
      <c r="F109" s="34">
        <v>1</v>
      </c>
      <c r="G109" s="5">
        <f t="shared" si="1"/>
        <v>0</v>
      </c>
    </row>
    <row r="110" spans="1:7" x14ac:dyDescent="0.3">
      <c r="A110" s="33">
        <v>46003.462314814817</v>
      </c>
      <c r="B110" s="34">
        <v>1090</v>
      </c>
      <c r="C110" s="34">
        <v>1.3587</v>
      </c>
      <c r="D110" s="34">
        <v>0</v>
      </c>
      <c r="E110" s="34">
        <v>0</v>
      </c>
      <c r="F110" s="34">
        <v>1</v>
      </c>
      <c r="G110" s="5">
        <f t="shared" si="1"/>
        <v>0</v>
      </c>
    </row>
    <row r="111" spans="1:7" x14ac:dyDescent="0.3">
      <c r="A111" s="33">
        <v>46003.462430555555</v>
      </c>
      <c r="B111" s="34">
        <v>1100</v>
      </c>
      <c r="C111" s="34">
        <v>1.36</v>
      </c>
      <c r="D111" s="34">
        <v>0</v>
      </c>
      <c r="E111" s="34">
        <v>0</v>
      </c>
      <c r="F111" s="34">
        <v>1</v>
      </c>
      <c r="G111" s="5">
        <f t="shared" si="1"/>
        <v>0</v>
      </c>
    </row>
    <row r="112" spans="1:7" x14ac:dyDescent="0.3">
      <c r="A112" s="33">
        <v>46003.462546296294</v>
      </c>
      <c r="B112" s="34">
        <v>1110</v>
      </c>
      <c r="C112" s="34">
        <v>1.3636999999999999</v>
      </c>
      <c r="D112" s="34">
        <v>0</v>
      </c>
      <c r="E112" s="34">
        <v>0</v>
      </c>
      <c r="F112" s="34">
        <v>1</v>
      </c>
      <c r="G112" s="5">
        <f t="shared" si="1"/>
        <v>0</v>
      </c>
    </row>
    <row r="113" spans="1:7" x14ac:dyDescent="0.3">
      <c r="A113" s="33">
        <v>46003.46266203704</v>
      </c>
      <c r="B113" s="34">
        <v>1120</v>
      </c>
      <c r="C113" s="34">
        <v>1.3662000000000001</v>
      </c>
      <c r="D113" s="34">
        <v>0</v>
      </c>
      <c r="E113" s="34">
        <v>0</v>
      </c>
      <c r="F113" s="34">
        <v>1</v>
      </c>
      <c r="G113" s="5">
        <f t="shared" si="1"/>
        <v>0</v>
      </c>
    </row>
    <row r="114" spans="1:7" x14ac:dyDescent="0.3">
      <c r="A114" s="33">
        <v>46003.462777777779</v>
      </c>
      <c r="B114" s="34">
        <v>1130</v>
      </c>
      <c r="C114" s="34">
        <v>1.37</v>
      </c>
      <c r="D114" s="34">
        <v>0</v>
      </c>
      <c r="E114" s="34">
        <v>0</v>
      </c>
      <c r="F114" s="34">
        <v>1</v>
      </c>
      <c r="G114" s="5">
        <f t="shared" si="1"/>
        <v>0</v>
      </c>
    </row>
    <row r="115" spans="1:7" x14ac:dyDescent="0.3">
      <c r="A115" s="33">
        <v>46003.462893518517</v>
      </c>
      <c r="B115" s="34">
        <v>1140</v>
      </c>
      <c r="C115" s="34">
        <v>1.37</v>
      </c>
      <c r="D115" s="34">
        <v>0</v>
      </c>
      <c r="E115" s="34">
        <v>0</v>
      </c>
      <c r="F115" s="34">
        <v>1</v>
      </c>
      <c r="G115" s="5">
        <f t="shared" si="1"/>
        <v>0</v>
      </c>
    </row>
    <row r="116" spans="1:7" x14ac:dyDescent="0.3">
      <c r="A116" s="33">
        <v>46003.463009259256</v>
      </c>
      <c r="B116" s="34">
        <v>1150</v>
      </c>
      <c r="C116" s="34">
        <v>1.1287</v>
      </c>
      <c r="D116" s="34">
        <v>387.53820000000002</v>
      </c>
      <c r="E116" s="34">
        <v>437.48662999999999</v>
      </c>
      <c r="F116" s="34">
        <v>0</v>
      </c>
      <c r="G116" s="5">
        <f t="shared" si="1"/>
        <v>0.53824749999999999</v>
      </c>
    </row>
    <row r="117" spans="1:7" x14ac:dyDescent="0.3">
      <c r="A117" s="33">
        <v>46003.463125000002</v>
      </c>
      <c r="B117" s="34">
        <v>1160</v>
      </c>
      <c r="C117" s="34">
        <v>1.1200000000000001</v>
      </c>
      <c r="D117" s="34">
        <v>385.08819999999997</v>
      </c>
      <c r="E117" s="34">
        <v>431.23685</v>
      </c>
      <c r="F117" s="34">
        <v>0</v>
      </c>
      <c r="G117" s="5">
        <f t="shared" si="1"/>
        <v>1.0730922222222223</v>
      </c>
    </row>
    <row r="118" spans="1:7" x14ac:dyDescent="0.3">
      <c r="A118" s="33">
        <v>46003.463240740741</v>
      </c>
      <c r="B118" s="34">
        <v>1170</v>
      </c>
      <c r="C118" s="34">
        <v>1.1174999999999999</v>
      </c>
      <c r="D118" s="34">
        <v>383.5883</v>
      </c>
      <c r="E118" s="34">
        <v>429.36191000000002</v>
      </c>
      <c r="F118" s="34">
        <v>0</v>
      </c>
      <c r="G118" s="5">
        <f t="shared" si="1"/>
        <v>1.0676062500000001</v>
      </c>
    </row>
    <row r="119" spans="1:7" x14ac:dyDescent="0.3">
      <c r="A119" s="33">
        <v>46003.463356481479</v>
      </c>
      <c r="B119" s="34">
        <v>1180</v>
      </c>
      <c r="C119" s="34">
        <v>1.1136999999999999</v>
      </c>
      <c r="D119" s="34">
        <v>382.43830000000003</v>
      </c>
      <c r="E119" s="34">
        <v>426.23700000000002</v>
      </c>
      <c r="F119" s="34">
        <v>0</v>
      </c>
      <c r="G119" s="5">
        <f t="shared" si="1"/>
        <v>1.0639258333333335</v>
      </c>
    </row>
    <row r="120" spans="1:7" x14ac:dyDescent="0.3">
      <c r="A120" s="33">
        <v>46003.463472222225</v>
      </c>
      <c r="B120" s="34">
        <v>1190</v>
      </c>
      <c r="C120" s="34">
        <v>1.1112</v>
      </c>
      <c r="D120" s="34">
        <v>381.51330000000002</v>
      </c>
      <c r="E120" s="34">
        <v>423.73705999999999</v>
      </c>
      <c r="F120" s="34">
        <v>0</v>
      </c>
      <c r="G120" s="5">
        <f t="shared" si="1"/>
        <v>1.0610438888888891</v>
      </c>
    </row>
    <row r="121" spans="1:7" x14ac:dyDescent="0.3">
      <c r="A121" s="33">
        <v>46003.463587962964</v>
      </c>
      <c r="B121" s="34">
        <v>1200</v>
      </c>
      <c r="C121" s="34">
        <v>1.1087</v>
      </c>
      <c r="D121" s="34">
        <v>380.76339999999999</v>
      </c>
      <c r="E121" s="34">
        <v>421.86212</v>
      </c>
      <c r="F121" s="34">
        <v>0</v>
      </c>
      <c r="G121" s="5">
        <f t="shared" si="1"/>
        <v>1.058717638888889</v>
      </c>
    </row>
    <row r="122" spans="1:7" x14ac:dyDescent="0.3">
      <c r="A122" s="33">
        <v>46003.463703703703</v>
      </c>
      <c r="B122" s="34">
        <v>1210</v>
      </c>
      <c r="C122" s="34">
        <v>1.1062000000000001</v>
      </c>
      <c r="D122" s="34">
        <v>380.11340000000001</v>
      </c>
      <c r="E122" s="34">
        <v>420.61214999999999</v>
      </c>
      <c r="F122" s="34">
        <v>0</v>
      </c>
      <c r="G122" s="5">
        <f t="shared" si="1"/>
        <v>1.0567733333333333</v>
      </c>
    </row>
    <row r="123" spans="1:7" x14ac:dyDescent="0.3">
      <c r="A123" s="33">
        <v>46003.463819444441</v>
      </c>
      <c r="B123" s="34">
        <v>1220</v>
      </c>
      <c r="C123" s="34">
        <v>1.105</v>
      </c>
      <c r="D123" s="34">
        <v>379.5634</v>
      </c>
      <c r="E123" s="34">
        <v>419.98718000000002</v>
      </c>
      <c r="F123" s="34">
        <v>0</v>
      </c>
      <c r="G123" s="5">
        <f t="shared" si="1"/>
        <v>1.0551066666666666</v>
      </c>
    </row>
    <row r="124" spans="1:7" x14ac:dyDescent="0.3">
      <c r="A124" s="33">
        <v>46003.463935185187</v>
      </c>
      <c r="B124" s="34">
        <v>1230</v>
      </c>
      <c r="C124" s="34">
        <v>1.1025</v>
      </c>
      <c r="D124" s="34">
        <v>379.03840000000002</v>
      </c>
      <c r="E124" s="34">
        <v>417.48723999999999</v>
      </c>
      <c r="F124" s="34">
        <v>0</v>
      </c>
      <c r="G124" s="5">
        <f t="shared" si="1"/>
        <v>1.0536136111111112</v>
      </c>
    </row>
    <row r="125" spans="1:7" x14ac:dyDescent="0.3">
      <c r="A125" s="33">
        <v>46003.464050925926</v>
      </c>
      <c r="B125" s="34">
        <v>1240</v>
      </c>
      <c r="C125" s="34">
        <v>1.1012</v>
      </c>
      <c r="D125" s="34">
        <v>378.5634</v>
      </c>
      <c r="E125" s="34">
        <v>416.86227000000002</v>
      </c>
      <c r="F125" s="34">
        <v>0</v>
      </c>
      <c r="G125" s="5">
        <f t="shared" si="1"/>
        <v>1.0522247222222223</v>
      </c>
    </row>
    <row r="126" spans="1:7" x14ac:dyDescent="0.3">
      <c r="A126" s="33">
        <v>46003.464166666665</v>
      </c>
      <c r="B126" s="34">
        <v>1250</v>
      </c>
      <c r="C126" s="34">
        <v>1.1000000000000001</v>
      </c>
      <c r="D126" s="34">
        <v>378.13850000000002</v>
      </c>
      <c r="E126" s="34">
        <v>415.6123</v>
      </c>
      <c r="F126" s="34">
        <v>0</v>
      </c>
      <c r="G126" s="5">
        <f t="shared" si="1"/>
        <v>1.0509748611111112</v>
      </c>
    </row>
    <row r="127" spans="1:7" x14ac:dyDescent="0.3">
      <c r="A127" s="33">
        <v>46003.464282407411</v>
      </c>
      <c r="B127" s="34">
        <v>1260</v>
      </c>
      <c r="C127" s="34">
        <v>1.1000000000000001</v>
      </c>
      <c r="D127" s="34">
        <v>377.73849999999999</v>
      </c>
      <c r="E127" s="34">
        <v>415.6123</v>
      </c>
      <c r="F127" s="34">
        <v>0</v>
      </c>
      <c r="G127" s="5">
        <f t="shared" si="1"/>
        <v>1.0498291666666666</v>
      </c>
    </row>
    <row r="128" spans="1:7" x14ac:dyDescent="0.3">
      <c r="A128" s="33">
        <v>46003.464398148149</v>
      </c>
      <c r="B128" s="34">
        <v>1270</v>
      </c>
      <c r="C128" s="34">
        <v>1.0987</v>
      </c>
      <c r="D128" s="34">
        <v>377.36349999999999</v>
      </c>
      <c r="E128" s="34">
        <v>414.98734000000002</v>
      </c>
      <c r="F128" s="34">
        <v>0</v>
      </c>
      <c r="G128" s="5">
        <f t="shared" si="1"/>
        <v>1.0487527777777779</v>
      </c>
    </row>
    <row r="129" spans="1:7" x14ac:dyDescent="0.3">
      <c r="A129" s="33">
        <v>46003.464513888888</v>
      </c>
      <c r="B129" s="34">
        <v>1280</v>
      </c>
      <c r="C129" s="34">
        <v>1.0974999999999999</v>
      </c>
      <c r="D129" s="34">
        <v>377.0385</v>
      </c>
      <c r="E129" s="34">
        <v>413.73737</v>
      </c>
      <c r="F129" s="34">
        <v>0</v>
      </c>
      <c r="G129" s="5">
        <f t="shared" si="1"/>
        <v>1.0477805555555557</v>
      </c>
    </row>
    <row r="130" spans="1:7" x14ac:dyDescent="0.3">
      <c r="A130" s="33">
        <v>46003.464629629627</v>
      </c>
      <c r="B130" s="34">
        <v>1290</v>
      </c>
      <c r="C130" s="34">
        <v>1.0962000000000001</v>
      </c>
      <c r="D130" s="34">
        <v>376.71350000000001</v>
      </c>
      <c r="E130" s="34">
        <v>412.48743000000002</v>
      </c>
      <c r="F130" s="34">
        <v>0</v>
      </c>
      <c r="G130" s="5">
        <f t="shared" si="1"/>
        <v>1.0468777777777778</v>
      </c>
    </row>
    <row r="131" spans="1:7" x14ac:dyDescent="0.3">
      <c r="A131" s="33">
        <v>46003.464745370373</v>
      </c>
      <c r="B131" s="34">
        <v>1300</v>
      </c>
      <c r="C131" s="34">
        <v>1.095</v>
      </c>
      <c r="D131" s="34">
        <v>376.38850000000002</v>
      </c>
      <c r="E131" s="34">
        <v>411.86243000000002</v>
      </c>
      <c r="F131" s="34">
        <v>0</v>
      </c>
      <c r="G131" s="5">
        <f t="shared" si="1"/>
        <v>1.0459750000000001</v>
      </c>
    </row>
    <row r="132" spans="1:7" x14ac:dyDescent="0.3">
      <c r="A132" s="33">
        <v>46003.464861111112</v>
      </c>
      <c r="B132" s="34">
        <v>1310</v>
      </c>
      <c r="C132" s="34">
        <v>1.095</v>
      </c>
      <c r="D132" s="34">
        <v>376.06349999999998</v>
      </c>
      <c r="E132" s="34">
        <v>411.86243000000002</v>
      </c>
      <c r="F132" s="34">
        <v>0</v>
      </c>
      <c r="G132" s="5">
        <f t="shared" si="1"/>
        <v>1.0450722222222222</v>
      </c>
    </row>
    <row r="133" spans="1:7" x14ac:dyDescent="0.3">
      <c r="A133" s="33">
        <v>46003.46497685185</v>
      </c>
      <c r="B133" s="34">
        <v>1320</v>
      </c>
      <c r="C133" s="34">
        <v>1.0938000000000001</v>
      </c>
      <c r="D133" s="34">
        <v>375.7885</v>
      </c>
      <c r="E133" s="34">
        <v>410.61246</v>
      </c>
      <c r="F133" s="34">
        <v>0</v>
      </c>
      <c r="G133" s="5">
        <f t="shared" si="1"/>
        <v>1.0442388888888889</v>
      </c>
    </row>
    <row r="134" spans="1:7" x14ac:dyDescent="0.3">
      <c r="A134" s="33">
        <v>46003.465092592596</v>
      </c>
      <c r="B134" s="34">
        <v>1330</v>
      </c>
      <c r="C134" s="34">
        <v>1.0925</v>
      </c>
      <c r="D134" s="34">
        <v>375.51350000000002</v>
      </c>
      <c r="E134" s="34">
        <v>410.61246</v>
      </c>
      <c r="F134" s="34">
        <v>0</v>
      </c>
      <c r="G134" s="5">
        <f t="shared" si="1"/>
        <v>1.0434750000000002</v>
      </c>
    </row>
    <row r="135" spans="1:7" x14ac:dyDescent="0.3">
      <c r="A135" s="33">
        <v>46003.465208333335</v>
      </c>
      <c r="B135" s="34">
        <v>1340</v>
      </c>
      <c r="C135" s="34">
        <v>1.0911999999999999</v>
      </c>
      <c r="D135" s="34">
        <v>375.23849999999999</v>
      </c>
      <c r="E135" s="34">
        <v>409.36252000000002</v>
      </c>
      <c r="F135" s="34">
        <v>0</v>
      </c>
      <c r="G135" s="5">
        <f t="shared" ref="G135:G198" si="2">($B$2/3600)*((D134+D135)/2)</f>
        <v>1.0427111111111111</v>
      </c>
    </row>
    <row r="136" spans="1:7" x14ac:dyDescent="0.3">
      <c r="A136" s="33">
        <v>46003.465324074074</v>
      </c>
      <c r="B136" s="34">
        <v>1350</v>
      </c>
      <c r="C136" s="34">
        <v>1.0900000000000001</v>
      </c>
      <c r="D136" s="34">
        <v>374.98860000000002</v>
      </c>
      <c r="E136" s="34">
        <v>408.73752000000002</v>
      </c>
      <c r="F136" s="34">
        <v>0</v>
      </c>
      <c r="G136" s="5">
        <f t="shared" si="2"/>
        <v>1.0419820833333335</v>
      </c>
    </row>
    <row r="137" spans="1:7" x14ac:dyDescent="0.3">
      <c r="A137" s="33">
        <v>46003.465439814812</v>
      </c>
      <c r="B137" s="34">
        <v>1360</v>
      </c>
      <c r="C137" s="34">
        <v>1.0888</v>
      </c>
      <c r="D137" s="34">
        <v>374.73860000000002</v>
      </c>
      <c r="E137" s="34">
        <v>408.11255</v>
      </c>
      <c r="F137" s="34">
        <v>0</v>
      </c>
      <c r="G137" s="5">
        <f t="shared" si="2"/>
        <v>1.0412877777777778</v>
      </c>
    </row>
    <row r="138" spans="1:7" x14ac:dyDescent="0.3">
      <c r="A138" s="33">
        <v>46003.465555555558</v>
      </c>
      <c r="B138" s="34">
        <v>1370</v>
      </c>
      <c r="C138" s="34">
        <v>1.0900000000000001</v>
      </c>
      <c r="D138" s="34">
        <v>374.51350000000002</v>
      </c>
      <c r="E138" s="34">
        <v>408.11255</v>
      </c>
      <c r="F138" s="34">
        <v>0</v>
      </c>
      <c r="G138" s="5">
        <f t="shared" si="2"/>
        <v>1.0406279166666668</v>
      </c>
    </row>
    <row r="139" spans="1:7" x14ac:dyDescent="0.3">
      <c r="A139" s="33">
        <v>46003.465671296297</v>
      </c>
      <c r="B139" s="34">
        <v>1380</v>
      </c>
      <c r="C139" s="34">
        <v>1.0888</v>
      </c>
      <c r="D139" s="34">
        <v>374.2636</v>
      </c>
      <c r="E139" s="34">
        <v>407.48755</v>
      </c>
      <c r="F139" s="34">
        <v>0</v>
      </c>
      <c r="G139" s="5">
        <f t="shared" si="2"/>
        <v>1.0399681944444445</v>
      </c>
    </row>
    <row r="140" spans="1:7" x14ac:dyDescent="0.3">
      <c r="A140" s="33">
        <v>46003.465787037036</v>
      </c>
      <c r="B140" s="34">
        <v>1390</v>
      </c>
      <c r="C140" s="34">
        <v>1.0874999999999999</v>
      </c>
      <c r="D140" s="34">
        <v>374.03859999999997</v>
      </c>
      <c r="E140" s="34">
        <v>406.23761000000002</v>
      </c>
      <c r="F140" s="34">
        <v>0</v>
      </c>
      <c r="G140" s="5">
        <f t="shared" si="2"/>
        <v>1.0393086111111112</v>
      </c>
    </row>
    <row r="141" spans="1:7" x14ac:dyDescent="0.3">
      <c r="A141" s="33">
        <v>46003.465902777774</v>
      </c>
      <c r="B141" s="34">
        <v>1400</v>
      </c>
      <c r="C141" s="34">
        <v>1.0874999999999999</v>
      </c>
      <c r="D141" s="34">
        <v>373.81360000000001</v>
      </c>
      <c r="E141" s="34">
        <v>406.23761000000002</v>
      </c>
      <c r="F141" s="34">
        <v>0</v>
      </c>
      <c r="G141" s="5">
        <f t="shared" si="2"/>
        <v>1.0386836111111113</v>
      </c>
    </row>
    <row r="142" spans="1:7" x14ac:dyDescent="0.3">
      <c r="A142" s="33">
        <v>46003.46601851852</v>
      </c>
      <c r="B142" s="34">
        <v>1410</v>
      </c>
      <c r="C142" s="34">
        <v>1.0862000000000001</v>
      </c>
      <c r="D142" s="34">
        <v>373.58859999999999</v>
      </c>
      <c r="E142" s="34">
        <v>405.61261000000002</v>
      </c>
      <c r="F142" s="34">
        <v>0</v>
      </c>
      <c r="G142" s="5">
        <f t="shared" si="2"/>
        <v>1.0380586111111112</v>
      </c>
    </row>
    <row r="143" spans="1:7" x14ac:dyDescent="0.3">
      <c r="A143" s="33">
        <v>46003.466134259259</v>
      </c>
      <c r="B143" s="34">
        <v>1420</v>
      </c>
      <c r="C143" s="34">
        <v>1.085</v>
      </c>
      <c r="D143" s="34">
        <v>373.36360000000002</v>
      </c>
      <c r="E143" s="34">
        <v>405.61261000000002</v>
      </c>
      <c r="F143" s="34">
        <v>0</v>
      </c>
      <c r="G143" s="5">
        <f t="shared" si="2"/>
        <v>1.0374336111111111</v>
      </c>
    </row>
    <row r="144" spans="1:7" x14ac:dyDescent="0.3">
      <c r="A144" s="33">
        <v>46003.466249999998</v>
      </c>
      <c r="B144" s="34">
        <v>1430</v>
      </c>
      <c r="C144" s="34">
        <v>1.085</v>
      </c>
      <c r="D144" s="34">
        <v>373.1386</v>
      </c>
      <c r="E144" s="34">
        <v>404.36266999999998</v>
      </c>
      <c r="F144" s="34">
        <v>0</v>
      </c>
      <c r="G144" s="5">
        <f t="shared" si="2"/>
        <v>1.0368086111111112</v>
      </c>
    </row>
    <row r="145" spans="1:7" x14ac:dyDescent="0.3">
      <c r="A145" s="33">
        <v>46003.466365740744</v>
      </c>
      <c r="B145" s="34">
        <v>1440</v>
      </c>
      <c r="C145" s="34">
        <v>1.0838000000000001</v>
      </c>
      <c r="D145" s="34">
        <v>372.93860000000001</v>
      </c>
      <c r="E145" s="34">
        <v>404.36266999999998</v>
      </c>
      <c r="F145" s="34">
        <v>0</v>
      </c>
      <c r="G145" s="5">
        <f t="shared" si="2"/>
        <v>1.0362183333333332</v>
      </c>
    </row>
    <row r="146" spans="1:7" x14ac:dyDescent="0.3">
      <c r="A146" s="33">
        <v>46003.466481481482</v>
      </c>
      <c r="B146" s="34">
        <v>1450</v>
      </c>
      <c r="C146" s="34">
        <v>1.3162</v>
      </c>
      <c r="D146" s="34">
        <v>0</v>
      </c>
      <c r="E146" s="34">
        <v>0</v>
      </c>
      <c r="F146" s="34">
        <v>1</v>
      </c>
      <c r="G146" s="5">
        <f t="shared" si="2"/>
        <v>0.51797027777777782</v>
      </c>
    </row>
    <row r="147" spans="1:7" x14ac:dyDescent="0.3">
      <c r="A147" s="33">
        <v>46003.466597222221</v>
      </c>
      <c r="B147" s="34">
        <v>1460</v>
      </c>
      <c r="C147" s="34">
        <v>1.325</v>
      </c>
      <c r="D147" s="34">
        <v>0</v>
      </c>
      <c r="E147" s="34">
        <v>0</v>
      </c>
      <c r="F147" s="34">
        <v>1</v>
      </c>
      <c r="G147" s="5">
        <f t="shared" si="2"/>
        <v>0</v>
      </c>
    </row>
    <row r="148" spans="1:7" x14ac:dyDescent="0.3">
      <c r="A148" s="33">
        <v>46003.46671296296</v>
      </c>
      <c r="B148" s="34">
        <v>1470</v>
      </c>
      <c r="C148" s="34">
        <v>1.3311999999999999</v>
      </c>
      <c r="D148" s="34">
        <v>0</v>
      </c>
      <c r="E148" s="34">
        <v>0</v>
      </c>
      <c r="F148" s="34">
        <v>1</v>
      </c>
      <c r="G148" s="5">
        <f t="shared" si="2"/>
        <v>0</v>
      </c>
    </row>
    <row r="149" spans="1:7" x14ac:dyDescent="0.3">
      <c r="A149" s="33">
        <v>46003.466828703706</v>
      </c>
      <c r="B149" s="34">
        <v>1480</v>
      </c>
      <c r="C149" s="34">
        <v>1.3362000000000001</v>
      </c>
      <c r="D149" s="34">
        <v>0</v>
      </c>
      <c r="E149" s="34">
        <v>0</v>
      </c>
      <c r="F149" s="34">
        <v>1</v>
      </c>
      <c r="G149" s="5">
        <f t="shared" si="2"/>
        <v>0</v>
      </c>
    </row>
    <row r="150" spans="1:7" x14ac:dyDescent="0.3">
      <c r="A150" s="33">
        <v>46003.466944444444</v>
      </c>
      <c r="B150" s="34">
        <v>1490</v>
      </c>
      <c r="C150" s="34">
        <v>1.34</v>
      </c>
      <c r="D150" s="34">
        <v>0</v>
      </c>
      <c r="E150" s="34">
        <v>0</v>
      </c>
      <c r="F150" s="34">
        <v>1</v>
      </c>
      <c r="G150" s="5">
        <f t="shared" si="2"/>
        <v>0</v>
      </c>
    </row>
    <row r="151" spans="1:7" x14ac:dyDescent="0.3">
      <c r="A151" s="33">
        <v>46003.467060185183</v>
      </c>
      <c r="B151" s="34">
        <v>1500</v>
      </c>
      <c r="C151" s="34">
        <v>1.3438000000000001</v>
      </c>
      <c r="D151" s="34">
        <v>0</v>
      </c>
      <c r="E151" s="34">
        <v>0</v>
      </c>
      <c r="F151" s="34">
        <v>1</v>
      </c>
      <c r="G151" s="5">
        <f t="shared" si="2"/>
        <v>0</v>
      </c>
    </row>
    <row r="152" spans="1:7" x14ac:dyDescent="0.3">
      <c r="A152" s="33">
        <v>46003.467175925929</v>
      </c>
      <c r="B152" s="34">
        <v>1510</v>
      </c>
      <c r="C152" s="34">
        <v>1.3462000000000001</v>
      </c>
      <c r="D152" s="34">
        <v>0</v>
      </c>
      <c r="E152" s="34">
        <v>0</v>
      </c>
      <c r="F152" s="34">
        <v>1</v>
      </c>
      <c r="G152" s="5">
        <f t="shared" si="2"/>
        <v>0</v>
      </c>
    </row>
    <row r="153" spans="1:7" x14ac:dyDescent="0.3">
      <c r="A153" s="33">
        <v>46003.467291666668</v>
      </c>
      <c r="B153" s="34">
        <v>1520</v>
      </c>
      <c r="C153" s="34">
        <v>1.35</v>
      </c>
      <c r="D153" s="34">
        <v>0</v>
      </c>
      <c r="E153" s="34">
        <v>0</v>
      </c>
      <c r="F153" s="34">
        <v>1</v>
      </c>
      <c r="G153" s="5">
        <f t="shared" si="2"/>
        <v>0</v>
      </c>
    </row>
    <row r="154" spans="1:7" x14ac:dyDescent="0.3">
      <c r="A154" s="33">
        <v>46003.467407407406</v>
      </c>
      <c r="B154" s="34">
        <v>1530</v>
      </c>
      <c r="C154" s="34">
        <v>1.3512</v>
      </c>
      <c r="D154" s="34">
        <v>0</v>
      </c>
      <c r="E154" s="34">
        <v>0</v>
      </c>
      <c r="F154" s="34">
        <v>1</v>
      </c>
      <c r="G154" s="5">
        <f t="shared" si="2"/>
        <v>0</v>
      </c>
    </row>
    <row r="155" spans="1:7" x14ac:dyDescent="0.3">
      <c r="A155" s="33">
        <v>46003.467523148145</v>
      </c>
      <c r="B155" s="34">
        <v>1540</v>
      </c>
      <c r="C155" s="34">
        <v>1.1125</v>
      </c>
      <c r="D155" s="34">
        <v>381.8383</v>
      </c>
      <c r="E155" s="34">
        <v>424.36205999999999</v>
      </c>
      <c r="F155" s="34">
        <v>0</v>
      </c>
      <c r="G155" s="5">
        <f t="shared" si="2"/>
        <v>0.53033097222222225</v>
      </c>
    </row>
    <row r="156" spans="1:7" x14ac:dyDescent="0.3">
      <c r="A156" s="33">
        <v>46003.467638888891</v>
      </c>
      <c r="B156" s="34">
        <v>1550</v>
      </c>
      <c r="C156" s="34">
        <v>1.1036999999999999</v>
      </c>
      <c r="D156" s="34">
        <v>379.33839999999998</v>
      </c>
      <c r="E156" s="34">
        <v>418.73721</v>
      </c>
      <c r="F156" s="34">
        <v>0</v>
      </c>
      <c r="G156" s="5">
        <f t="shared" si="2"/>
        <v>1.057189861111111</v>
      </c>
    </row>
    <row r="157" spans="1:7" x14ac:dyDescent="0.3">
      <c r="A157" s="33">
        <v>46003.46775462963</v>
      </c>
      <c r="B157" s="34">
        <v>1560</v>
      </c>
      <c r="C157" s="34">
        <v>1.1000000000000001</v>
      </c>
      <c r="D157" s="34">
        <v>377.76350000000002</v>
      </c>
      <c r="E157" s="34">
        <v>415.6123</v>
      </c>
      <c r="F157" s="34">
        <v>0</v>
      </c>
      <c r="G157" s="5">
        <f t="shared" si="2"/>
        <v>1.0515304166666668</v>
      </c>
    </row>
    <row r="158" spans="1:7" x14ac:dyDescent="0.3">
      <c r="A158" s="33">
        <v>46003.467870370368</v>
      </c>
      <c r="B158" s="34">
        <v>1570</v>
      </c>
      <c r="C158" s="34">
        <v>1.0962000000000001</v>
      </c>
      <c r="D158" s="34">
        <v>376.63850000000002</v>
      </c>
      <c r="E158" s="34">
        <v>412.48743000000002</v>
      </c>
      <c r="F158" s="34">
        <v>0</v>
      </c>
      <c r="G158" s="5">
        <f t="shared" si="2"/>
        <v>1.0477805555555557</v>
      </c>
    </row>
    <row r="159" spans="1:7" x14ac:dyDescent="0.3">
      <c r="A159" s="33">
        <v>46003.467986111114</v>
      </c>
      <c r="B159" s="34">
        <v>1580</v>
      </c>
      <c r="C159" s="34">
        <v>1.0925</v>
      </c>
      <c r="D159" s="34">
        <v>375.71350000000001</v>
      </c>
      <c r="E159" s="34">
        <v>410.61246</v>
      </c>
      <c r="F159" s="34">
        <v>0</v>
      </c>
      <c r="G159" s="5">
        <f t="shared" si="2"/>
        <v>1.0449333333333335</v>
      </c>
    </row>
    <row r="160" spans="1:7" x14ac:dyDescent="0.3">
      <c r="A160" s="33">
        <v>46003.468101851853</v>
      </c>
      <c r="B160" s="34">
        <v>1590</v>
      </c>
      <c r="C160" s="34">
        <v>1.0900000000000001</v>
      </c>
      <c r="D160" s="34">
        <v>374.96350000000001</v>
      </c>
      <c r="E160" s="34">
        <v>408.73752000000002</v>
      </c>
      <c r="F160" s="34">
        <v>0</v>
      </c>
      <c r="G160" s="5">
        <f t="shared" si="2"/>
        <v>1.0426069444444446</v>
      </c>
    </row>
    <row r="161" spans="1:7" x14ac:dyDescent="0.3">
      <c r="A161" s="33">
        <v>46003.468217592592</v>
      </c>
      <c r="B161" s="34">
        <v>1600</v>
      </c>
      <c r="C161" s="34">
        <v>1.0888</v>
      </c>
      <c r="D161" s="34">
        <v>374.31360000000001</v>
      </c>
      <c r="E161" s="34">
        <v>407.48755</v>
      </c>
      <c r="F161" s="34">
        <v>0</v>
      </c>
      <c r="G161" s="5">
        <f t="shared" si="2"/>
        <v>1.0406626388888889</v>
      </c>
    </row>
    <row r="162" spans="1:7" x14ac:dyDescent="0.3">
      <c r="A162" s="33">
        <v>46003.468333333331</v>
      </c>
      <c r="B162" s="34">
        <v>1610</v>
      </c>
      <c r="C162" s="34">
        <v>1.0862000000000001</v>
      </c>
      <c r="D162" s="34">
        <v>373.73860000000002</v>
      </c>
      <c r="E162" s="34">
        <v>405.61261000000002</v>
      </c>
      <c r="F162" s="34">
        <v>0</v>
      </c>
      <c r="G162" s="5">
        <f t="shared" si="2"/>
        <v>1.0389613888888891</v>
      </c>
    </row>
    <row r="163" spans="1:7" x14ac:dyDescent="0.3">
      <c r="A163" s="33">
        <v>46003.468449074076</v>
      </c>
      <c r="B163" s="34">
        <v>1620</v>
      </c>
      <c r="C163" s="34">
        <v>1.085</v>
      </c>
      <c r="D163" s="34">
        <v>373.2636</v>
      </c>
      <c r="E163" s="34">
        <v>404.36266999999998</v>
      </c>
      <c r="F163" s="34">
        <v>0</v>
      </c>
      <c r="G163" s="5">
        <f t="shared" si="2"/>
        <v>1.0375030555555556</v>
      </c>
    </row>
    <row r="164" spans="1:7" x14ac:dyDescent="0.3">
      <c r="A164" s="33">
        <v>46003.468564814815</v>
      </c>
      <c r="B164" s="34">
        <v>1630</v>
      </c>
      <c r="C164" s="34">
        <v>1.0838000000000001</v>
      </c>
      <c r="D164" s="34">
        <v>372.78859999999997</v>
      </c>
      <c r="E164" s="34">
        <v>404.36266999999998</v>
      </c>
      <c r="F164" s="34">
        <v>0</v>
      </c>
      <c r="G164" s="5">
        <f t="shared" si="2"/>
        <v>1.0361836111111111</v>
      </c>
    </row>
    <row r="165" spans="1:7" x14ac:dyDescent="0.3">
      <c r="A165" s="33">
        <v>46003.468680555554</v>
      </c>
      <c r="B165" s="34">
        <v>1640</v>
      </c>
      <c r="C165" s="34">
        <v>1.0825</v>
      </c>
      <c r="D165" s="34">
        <v>372.3886</v>
      </c>
      <c r="E165" s="34">
        <v>403.73766999999998</v>
      </c>
      <c r="F165" s="34">
        <v>0</v>
      </c>
      <c r="G165" s="5">
        <f t="shared" si="2"/>
        <v>1.0349683333333333</v>
      </c>
    </row>
    <row r="166" spans="1:7" x14ac:dyDescent="0.3">
      <c r="A166" s="33">
        <v>46003.4687962963</v>
      </c>
      <c r="B166" s="34">
        <v>1650</v>
      </c>
      <c r="C166" s="34">
        <v>1.0811999999999999</v>
      </c>
      <c r="D166" s="34">
        <v>372.03859999999997</v>
      </c>
      <c r="E166" s="34">
        <v>402.48773</v>
      </c>
      <c r="F166" s="34">
        <v>0</v>
      </c>
      <c r="G166" s="5">
        <f t="shared" si="2"/>
        <v>1.0339266666666667</v>
      </c>
    </row>
    <row r="167" spans="1:7" x14ac:dyDescent="0.3">
      <c r="A167" s="33">
        <v>46003.468912037039</v>
      </c>
      <c r="B167" s="34">
        <v>1660</v>
      </c>
      <c r="C167" s="34">
        <v>1.08</v>
      </c>
      <c r="D167" s="34">
        <v>371.68869999999998</v>
      </c>
      <c r="E167" s="34">
        <v>401.23775999999998</v>
      </c>
      <c r="F167" s="34">
        <v>0</v>
      </c>
      <c r="G167" s="5">
        <f t="shared" si="2"/>
        <v>1.0329545833333333</v>
      </c>
    </row>
    <row r="168" spans="1:7" x14ac:dyDescent="0.3">
      <c r="A168" s="33">
        <v>46003.469027777777</v>
      </c>
      <c r="B168" s="34">
        <v>1670</v>
      </c>
      <c r="C168" s="34">
        <v>1.08</v>
      </c>
      <c r="D168" s="34">
        <v>371.36360000000002</v>
      </c>
      <c r="E168" s="34">
        <v>401.23775999999998</v>
      </c>
      <c r="F168" s="34">
        <v>0</v>
      </c>
      <c r="G168" s="5">
        <f t="shared" si="2"/>
        <v>1.0320170833333335</v>
      </c>
    </row>
    <row r="169" spans="1:7" x14ac:dyDescent="0.3">
      <c r="A169" s="33">
        <v>46003.469143518516</v>
      </c>
      <c r="B169" s="34">
        <v>1680</v>
      </c>
      <c r="C169" s="34">
        <v>1.08</v>
      </c>
      <c r="D169" s="34">
        <v>371.06369999999998</v>
      </c>
      <c r="E169" s="34">
        <v>400.61275999999998</v>
      </c>
      <c r="F169" s="34">
        <v>0</v>
      </c>
      <c r="G169" s="5">
        <f t="shared" si="2"/>
        <v>1.0311490277777779</v>
      </c>
    </row>
    <row r="170" spans="1:7" x14ac:dyDescent="0.3">
      <c r="A170" s="33">
        <v>46003.469259259262</v>
      </c>
      <c r="B170" s="34">
        <v>1690</v>
      </c>
      <c r="C170" s="34">
        <v>1.0788</v>
      </c>
      <c r="D170" s="34">
        <v>370.76369999999997</v>
      </c>
      <c r="E170" s="34">
        <v>400.61275999999998</v>
      </c>
      <c r="F170" s="34">
        <v>0</v>
      </c>
      <c r="G170" s="5">
        <f t="shared" si="2"/>
        <v>1.0303158333333333</v>
      </c>
    </row>
    <row r="171" spans="1:7" x14ac:dyDescent="0.3">
      <c r="A171" s="33">
        <v>46003.469375000001</v>
      </c>
      <c r="B171" s="34">
        <v>1700</v>
      </c>
      <c r="C171" s="34">
        <v>1.0774999999999999</v>
      </c>
      <c r="D171" s="34">
        <v>370.48869999999999</v>
      </c>
      <c r="E171" s="34">
        <v>399.36282</v>
      </c>
      <c r="F171" s="34">
        <v>0</v>
      </c>
      <c r="G171" s="5">
        <f t="shared" si="2"/>
        <v>1.0295172222222222</v>
      </c>
    </row>
    <row r="172" spans="1:7" x14ac:dyDescent="0.3">
      <c r="A172" s="33">
        <v>46003.469490740739</v>
      </c>
      <c r="B172" s="34">
        <v>1710</v>
      </c>
      <c r="C172" s="34">
        <v>1.0762</v>
      </c>
      <c r="D172" s="34">
        <v>370.23869999999999</v>
      </c>
      <c r="E172" s="34">
        <v>398.73782</v>
      </c>
      <c r="F172" s="34">
        <v>0</v>
      </c>
      <c r="G172" s="5">
        <f t="shared" si="2"/>
        <v>1.0287880555555555</v>
      </c>
    </row>
    <row r="173" spans="1:7" x14ac:dyDescent="0.3">
      <c r="A173" s="33">
        <v>46003.469606481478</v>
      </c>
      <c r="B173" s="34">
        <v>1720</v>
      </c>
      <c r="C173" s="34">
        <v>1.0762</v>
      </c>
      <c r="D173" s="34">
        <v>369.98869999999999</v>
      </c>
      <c r="E173" s="34">
        <v>398.11284999999998</v>
      </c>
      <c r="F173" s="34">
        <v>0</v>
      </c>
      <c r="G173" s="5">
        <f t="shared" si="2"/>
        <v>1.0280936111111112</v>
      </c>
    </row>
    <row r="174" spans="1:7" x14ac:dyDescent="0.3">
      <c r="A174" s="33">
        <v>46003.469722222224</v>
      </c>
      <c r="B174" s="34">
        <v>1730</v>
      </c>
      <c r="C174" s="34">
        <v>1.075</v>
      </c>
      <c r="D174" s="34">
        <v>369.76369999999997</v>
      </c>
      <c r="E174" s="34">
        <v>397.48784999999998</v>
      </c>
      <c r="F174" s="34">
        <v>0</v>
      </c>
      <c r="G174" s="5">
        <f t="shared" si="2"/>
        <v>1.027433888888889</v>
      </c>
    </row>
    <row r="175" spans="1:7" x14ac:dyDescent="0.3">
      <c r="A175" s="33">
        <v>46003.469837962963</v>
      </c>
      <c r="B175" s="34">
        <v>1740</v>
      </c>
      <c r="C175" s="34">
        <v>1.0738000000000001</v>
      </c>
      <c r="D175" s="34">
        <v>369.51369999999997</v>
      </c>
      <c r="E175" s="34">
        <v>396.86288000000002</v>
      </c>
      <c r="F175" s="34">
        <v>0</v>
      </c>
      <c r="G175" s="5">
        <f t="shared" si="2"/>
        <v>1.0267741666666665</v>
      </c>
    </row>
    <row r="176" spans="1:7" x14ac:dyDescent="0.3">
      <c r="A176" s="33">
        <v>46003.469953703701</v>
      </c>
      <c r="B176" s="34">
        <v>1750</v>
      </c>
      <c r="C176" s="34">
        <v>1.0738000000000001</v>
      </c>
      <c r="D176" s="34">
        <v>369.28870000000001</v>
      </c>
      <c r="E176" s="34">
        <v>396.23791999999997</v>
      </c>
      <c r="F176" s="34">
        <v>0</v>
      </c>
      <c r="G176" s="5">
        <f t="shared" si="2"/>
        <v>1.0261144444444446</v>
      </c>
    </row>
    <row r="177" spans="1:7" x14ac:dyDescent="0.3">
      <c r="A177" s="33">
        <v>46003.470069444447</v>
      </c>
      <c r="B177" s="34">
        <v>1760</v>
      </c>
      <c r="C177" s="34">
        <v>1.0725</v>
      </c>
      <c r="D177" s="34">
        <v>369.06369999999998</v>
      </c>
      <c r="E177" s="34">
        <v>396.23791999999997</v>
      </c>
      <c r="F177" s="34">
        <v>0</v>
      </c>
      <c r="G177" s="5">
        <f t="shared" si="2"/>
        <v>1.0254894444444445</v>
      </c>
    </row>
    <row r="178" spans="1:7" x14ac:dyDescent="0.3">
      <c r="A178" s="33">
        <v>46003.470185185186</v>
      </c>
      <c r="B178" s="34">
        <v>1770</v>
      </c>
      <c r="C178" s="34">
        <v>1.0725</v>
      </c>
      <c r="D178" s="34">
        <v>368.83870000000002</v>
      </c>
      <c r="E178" s="34">
        <v>394.98795000000001</v>
      </c>
      <c r="F178" s="34">
        <v>0</v>
      </c>
      <c r="G178" s="5">
        <f t="shared" si="2"/>
        <v>1.0248644444444444</v>
      </c>
    </row>
    <row r="179" spans="1:7" x14ac:dyDescent="0.3">
      <c r="A179" s="33">
        <v>46003.470300925925</v>
      </c>
      <c r="B179" s="34">
        <v>1780</v>
      </c>
      <c r="C179" s="34">
        <v>1.0711999999999999</v>
      </c>
      <c r="D179" s="34">
        <v>368.63869999999997</v>
      </c>
      <c r="E179" s="34">
        <v>394.98795000000001</v>
      </c>
      <c r="F179" s="34">
        <v>0</v>
      </c>
      <c r="G179" s="5">
        <f t="shared" si="2"/>
        <v>1.0242741666666666</v>
      </c>
    </row>
    <row r="180" spans="1:7" x14ac:dyDescent="0.3">
      <c r="A180" s="33">
        <v>46003.470416666663</v>
      </c>
      <c r="B180" s="34">
        <v>1790</v>
      </c>
      <c r="C180" s="34">
        <v>1.07</v>
      </c>
      <c r="D180" s="34">
        <v>368.41379999999998</v>
      </c>
      <c r="E180" s="34">
        <v>394.36297999999999</v>
      </c>
      <c r="F180" s="34">
        <v>0</v>
      </c>
      <c r="G180" s="5">
        <f t="shared" si="2"/>
        <v>1.0236840277777779</v>
      </c>
    </row>
    <row r="181" spans="1:7" x14ac:dyDescent="0.3">
      <c r="A181" s="33">
        <v>46003.470532407409</v>
      </c>
      <c r="B181" s="34">
        <v>1800</v>
      </c>
      <c r="C181" s="34">
        <v>1.07</v>
      </c>
      <c r="D181" s="34">
        <v>368.21370000000002</v>
      </c>
      <c r="E181" s="34">
        <v>394.36297999999999</v>
      </c>
      <c r="F181" s="34">
        <v>0</v>
      </c>
      <c r="G181" s="5">
        <f t="shared" si="2"/>
        <v>1.0230937500000001</v>
      </c>
    </row>
    <row r="182" spans="1:7" x14ac:dyDescent="0.3">
      <c r="A182" s="33">
        <v>46003.470648148148</v>
      </c>
      <c r="B182" s="34">
        <v>1810</v>
      </c>
      <c r="C182" s="34">
        <v>1.0688</v>
      </c>
      <c r="D182" s="34">
        <v>368.0138</v>
      </c>
      <c r="E182" s="34">
        <v>393.73797999999999</v>
      </c>
      <c r="F182" s="34">
        <v>0</v>
      </c>
      <c r="G182" s="5">
        <f t="shared" si="2"/>
        <v>1.0225381944444445</v>
      </c>
    </row>
    <row r="183" spans="1:7" x14ac:dyDescent="0.3">
      <c r="A183" s="33">
        <v>46003.470763888887</v>
      </c>
      <c r="B183" s="34">
        <v>1820</v>
      </c>
      <c r="C183" s="34">
        <v>1.0688</v>
      </c>
      <c r="D183" s="34">
        <v>367.78879999999998</v>
      </c>
      <c r="E183" s="34">
        <v>393.11300999999997</v>
      </c>
      <c r="F183" s="34">
        <v>0</v>
      </c>
      <c r="G183" s="5">
        <f t="shared" si="2"/>
        <v>1.0219480555555556</v>
      </c>
    </row>
    <row r="184" spans="1:7" x14ac:dyDescent="0.3">
      <c r="A184" s="33">
        <v>46003.470879629633</v>
      </c>
      <c r="B184" s="34">
        <v>1830</v>
      </c>
      <c r="C184" s="34">
        <v>1.0688</v>
      </c>
      <c r="D184" s="34">
        <v>367.58879999999999</v>
      </c>
      <c r="E184" s="34">
        <v>393.11300999999997</v>
      </c>
      <c r="F184" s="34">
        <v>0</v>
      </c>
      <c r="G184" s="5">
        <f t="shared" si="2"/>
        <v>1.0213577777777778</v>
      </c>
    </row>
    <row r="185" spans="1:7" x14ac:dyDescent="0.3">
      <c r="A185" s="33">
        <v>46003.470995370371</v>
      </c>
      <c r="B185" s="34">
        <v>1840</v>
      </c>
      <c r="C185" s="34">
        <v>1.2975000000000001</v>
      </c>
      <c r="D185" s="34">
        <v>0</v>
      </c>
      <c r="E185" s="34">
        <v>0</v>
      </c>
      <c r="F185" s="34">
        <v>1</v>
      </c>
      <c r="G185" s="5">
        <f t="shared" si="2"/>
        <v>0.51053999999999999</v>
      </c>
    </row>
    <row r="186" spans="1:7" x14ac:dyDescent="0.3">
      <c r="A186" s="33">
        <v>46003.47111111111</v>
      </c>
      <c r="B186" s="34">
        <v>1850</v>
      </c>
      <c r="C186" s="34">
        <v>1.3075000000000001</v>
      </c>
      <c r="D186" s="34">
        <v>0</v>
      </c>
      <c r="E186" s="34">
        <v>0</v>
      </c>
      <c r="F186" s="34">
        <v>1</v>
      </c>
      <c r="G186" s="5">
        <f t="shared" si="2"/>
        <v>0</v>
      </c>
    </row>
    <row r="187" spans="1:7" x14ac:dyDescent="0.3">
      <c r="A187" s="33">
        <v>46003.471226851849</v>
      </c>
      <c r="B187" s="34">
        <v>1860</v>
      </c>
      <c r="C187" s="34">
        <v>1.3149999999999999</v>
      </c>
      <c r="D187" s="34">
        <v>0</v>
      </c>
      <c r="E187" s="34">
        <v>0</v>
      </c>
      <c r="F187" s="34">
        <v>1</v>
      </c>
      <c r="G187" s="5">
        <f t="shared" si="2"/>
        <v>0</v>
      </c>
    </row>
    <row r="188" spans="1:7" x14ac:dyDescent="0.3">
      <c r="A188" s="33">
        <v>46003.471342592595</v>
      </c>
      <c r="B188" s="34">
        <v>1870</v>
      </c>
      <c r="C188" s="34">
        <v>1.32</v>
      </c>
      <c r="D188" s="34">
        <v>0</v>
      </c>
      <c r="E188" s="34">
        <v>0</v>
      </c>
      <c r="F188" s="34">
        <v>1</v>
      </c>
      <c r="G188" s="5">
        <f t="shared" si="2"/>
        <v>0</v>
      </c>
    </row>
    <row r="189" spans="1:7" x14ac:dyDescent="0.3">
      <c r="A189" s="33">
        <v>46003.471458333333</v>
      </c>
      <c r="B189" s="34">
        <v>1880</v>
      </c>
      <c r="C189" s="34">
        <v>1.3225</v>
      </c>
      <c r="D189" s="34">
        <v>0</v>
      </c>
      <c r="E189" s="34">
        <v>0</v>
      </c>
      <c r="F189" s="34">
        <v>1</v>
      </c>
      <c r="G189" s="5">
        <f t="shared" si="2"/>
        <v>0</v>
      </c>
    </row>
    <row r="190" spans="1:7" x14ac:dyDescent="0.3">
      <c r="A190" s="33">
        <v>46003.471574074072</v>
      </c>
      <c r="B190" s="34">
        <v>1890</v>
      </c>
      <c r="C190" s="34">
        <v>1.3262</v>
      </c>
      <c r="D190" s="34">
        <v>0</v>
      </c>
      <c r="E190" s="34">
        <v>0</v>
      </c>
      <c r="F190" s="34">
        <v>1</v>
      </c>
      <c r="G190" s="5">
        <f t="shared" si="2"/>
        <v>0</v>
      </c>
    </row>
    <row r="191" spans="1:7" x14ac:dyDescent="0.3">
      <c r="A191" s="33">
        <v>46003.471689814818</v>
      </c>
      <c r="B191" s="34">
        <v>1900</v>
      </c>
      <c r="C191" s="34">
        <v>1.3288</v>
      </c>
      <c r="D191" s="34">
        <v>0</v>
      </c>
      <c r="E191" s="34">
        <v>0</v>
      </c>
      <c r="F191" s="34">
        <v>1</v>
      </c>
      <c r="G191" s="5">
        <f t="shared" si="2"/>
        <v>0</v>
      </c>
    </row>
    <row r="192" spans="1:7" x14ac:dyDescent="0.3">
      <c r="A192" s="33">
        <v>46003.471805555557</v>
      </c>
      <c r="B192" s="34">
        <v>1910</v>
      </c>
      <c r="C192" s="34">
        <v>1.3311999999999999</v>
      </c>
      <c r="D192" s="34">
        <v>0</v>
      </c>
      <c r="E192" s="34">
        <v>0</v>
      </c>
      <c r="F192" s="34">
        <v>1</v>
      </c>
      <c r="G192" s="5">
        <f t="shared" si="2"/>
        <v>0</v>
      </c>
    </row>
    <row r="193" spans="1:7" x14ac:dyDescent="0.3">
      <c r="A193" s="33">
        <v>46003.471921296295</v>
      </c>
      <c r="B193" s="34">
        <v>1920</v>
      </c>
      <c r="C193" s="34">
        <v>1.3338000000000001</v>
      </c>
      <c r="D193" s="34">
        <v>0</v>
      </c>
      <c r="E193" s="34">
        <v>0</v>
      </c>
      <c r="F193" s="34">
        <v>1</v>
      </c>
      <c r="G193" s="5">
        <f t="shared" si="2"/>
        <v>0</v>
      </c>
    </row>
    <row r="194" spans="1:7" x14ac:dyDescent="0.3">
      <c r="A194" s="33">
        <v>46003.472037037034</v>
      </c>
      <c r="B194" s="34">
        <v>1930</v>
      </c>
      <c r="C194" s="34">
        <v>1.0962000000000001</v>
      </c>
      <c r="D194" s="34">
        <v>376.73849999999999</v>
      </c>
      <c r="E194" s="34">
        <v>413.11239999999998</v>
      </c>
      <c r="F194" s="34">
        <v>0</v>
      </c>
      <c r="G194" s="5">
        <f t="shared" si="2"/>
        <v>0.5232479166666667</v>
      </c>
    </row>
    <row r="195" spans="1:7" x14ac:dyDescent="0.3">
      <c r="A195" s="33">
        <v>46003.47215277778</v>
      </c>
      <c r="B195" s="34">
        <v>1940</v>
      </c>
      <c r="C195" s="34">
        <v>1.0888</v>
      </c>
      <c r="D195" s="34">
        <v>374.21359999999999</v>
      </c>
      <c r="E195" s="34">
        <v>407.48755</v>
      </c>
      <c r="F195" s="34">
        <v>0</v>
      </c>
      <c r="G195" s="5">
        <f t="shared" si="2"/>
        <v>1.0429890277777778</v>
      </c>
    </row>
    <row r="196" spans="1:7" x14ac:dyDescent="0.3">
      <c r="A196" s="33">
        <v>46003.472268518519</v>
      </c>
      <c r="B196" s="34">
        <v>1950</v>
      </c>
      <c r="C196" s="34">
        <v>1.0838000000000001</v>
      </c>
      <c r="D196" s="34">
        <v>372.6386</v>
      </c>
      <c r="E196" s="34">
        <v>403.73766999999998</v>
      </c>
      <c r="F196" s="34">
        <v>0</v>
      </c>
      <c r="G196" s="5">
        <f t="shared" si="2"/>
        <v>1.0372947222222224</v>
      </c>
    </row>
    <row r="197" spans="1:7" x14ac:dyDescent="0.3">
      <c r="A197" s="33">
        <v>46003.472384259258</v>
      </c>
      <c r="B197" s="34">
        <v>1960</v>
      </c>
      <c r="C197" s="34">
        <v>1.0811999999999999</v>
      </c>
      <c r="D197" s="34">
        <v>371.5136</v>
      </c>
      <c r="E197" s="34">
        <v>401.23775999999998</v>
      </c>
      <c r="F197" s="34">
        <v>0</v>
      </c>
      <c r="G197" s="5">
        <f t="shared" si="2"/>
        <v>1.0335447222222223</v>
      </c>
    </row>
    <row r="198" spans="1:7" x14ac:dyDescent="0.3">
      <c r="A198" s="33">
        <v>46003.472500000003</v>
      </c>
      <c r="B198" s="34">
        <v>1970</v>
      </c>
      <c r="C198" s="34">
        <v>1.0774999999999999</v>
      </c>
      <c r="D198" s="34">
        <v>370.63869999999997</v>
      </c>
      <c r="E198" s="34">
        <v>399.36282</v>
      </c>
      <c r="F198" s="34">
        <v>0</v>
      </c>
      <c r="G198" s="5">
        <f t="shared" si="2"/>
        <v>1.0307670833333333</v>
      </c>
    </row>
    <row r="199" spans="1:7" x14ac:dyDescent="0.3">
      <c r="A199" s="33">
        <v>46003.472615740742</v>
      </c>
      <c r="B199" s="34">
        <v>1980</v>
      </c>
      <c r="C199" s="34">
        <v>1.075</v>
      </c>
      <c r="D199" s="34">
        <v>369.86369999999999</v>
      </c>
      <c r="E199" s="34">
        <v>397.48784999999998</v>
      </c>
      <c r="F199" s="34">
        <v>0</v>
      </c>
      <c r="G199" s="5">
        <f t="shared" ref="G199:G262" si="3">($B$2/3600)*((D198+D199)/2)</f>
        <v>1.0284755555555556</v>
      </c>
    </row>
    <row r="200" spans="1:7" x14ac:dyDescent="0.3">
      <c r="A200" s="33">
        <v>46003.472731481481</v>
      </c>
      <c r="B200" s="34">
        <v>1990</v>
      </c>
      <c r="C200" s="34">
        <v>1.0738000000000001</v>
      </c>
      <c r="D200" s="34">
        <v>369.26369999999997</v>
      </c>
      <c r="E200" s="34">
        <v>396.23791999999997</v>
      </c>
      <c r="F200" s="34">
        <v>0</v>
      </c>
      <c r="G200" s="5">
        <f t="shared" si="3"/>
        <v>1.0265658333333334</v>
      </c>
    </row>
    <row r="201" spans="1:7" x14ac:dyDescent="0.3">
      <c r="A201" s="33">
        <v>46003.47284722222</v>
      </c>
      <c r="B201" s="34">
        <v>2000</v>
      </c>
      <c r="C201" s="34">
        <v>1.0711999999999999</v>
      </c>
      <c r="D201" s="34">
        <v>368.71370000000002</v>
      </c>
      <c r="E201" s="34">
        <v>394.98795000000001</v>
      </c>
      <c r="F201" s="34">
        <v>0</v>
      </c>
      <c r="G201" s="5">
        <f t="shared" si="3"/>
        <v>1.0249686111111111</v>
      </c>
    </row>
    <row r="202" spans="1:7" x14ac:dyDescent="0.3">
      <c r="A202" s="33">
        <v>46003.472962962966</v>
      </c>
      <c r="B202" s="34">
        <v>2010</v>
      </c>
      <c r="C202" s="34">
        <v>1.0688</v>
      </c>
      <c r="D202" s="34">
        <v>368.23869999999999</v>
      </c>
      <c r="E202" s="34">
        <v>393.73797999999999</v>
      </c>
      <c r="F202" s="34">
        <v>0</v>
      </c>
      <c r="G202" s="5">
        <f t="shared" si="3"/>
        <v>1.0235450000000001</v>
      </c>
    </row>
    <row r="203" spans="1:7" x14ac:dyDescent="0.3">
      <c r="A203" s="33">
        <v>46003.473078703704</v>
      </c>
      <c r="B203" s="34">
        <v>2020</v>
      </c>
      <c r="C203" s="34">
        <v>1.0688</v>
      </c>
      <c r="D203" s="34">
        <v>367.81380000000001</v>
      </c>
      <c r="E203" s="34">
        <v>393.11300999999997</v>
      </c>
      <c r="F203" s="34">
        <v>0</v>
      </c>
      <c r="G203" s="5">
        <f t="shared" si="3"/>
        <v>1.022295138888889</v>
      </c>
    </row>
    <row r="204" spans="1:7" x14ac:dyDescent="0.3">
      <c r="A204" s="33">
        <v>46003.473194444443</v>
      </c>
      <c r="B204" s="34">
        <v>2030</v>
      </c>
      <c r="C204" s="34">
        <v>1.0674999999999999</v>
      </c>
      <c r="D204" s="34">
        <v>367.41379999999998</v>
      </c>
      <c r="E204" s="34">
        <v>392.48804000000001</v>
      </c>
      <c r="F204" s="34">
        <v>0</v>
      </c>
      <c r="G204" s="5">
        <f t="shared" si="3"/>
        <v>1.0211494444444444</v>
      </c>
    </row>
    <row r="205" spans="1:7" x14ac:dyDescent="0.3">
      <c r="A205" s="33">
        <v>46003.473310185182</v>
      </c>
      <c r="B205" s="34">
        <v>2040</v>
      </c>
      <c r="C205" s="34">
        <v>1.0662</v>
      </c>
      <c r="D205" s="34">
        <v>367.06380000000001</v>
      </c>
      <c r="E205" s="34">
        <v>391.86304000000001</v>
      </c>
      <c r="F205" s="34">
        <v>0</v>
      </c>
      <c r="G205" s="5">
        <f t="shared" si="3"/>
        <v>1.0201077777777778</v>
      </c>
    </row>
    <row r="206" spans="1:7" x14ac:dyDescent="0.3">
      <c r="A206" s="33">
        <v>46003.473425925928</v>
      </c>
      <c r="B206" s="34">
        <v>2050</v>
      </c>
      <c r="C206" s="34">
        <v>1.0649999999999999</v>
      </c>
      <c r="D206" s="34">
        <v>366.73880000000003</v>
      </c>
      <c r="E206" s="34">
        <v>390.61306999999999</v>
      </c>
      <c r="F206" s="34">
        <v>0</v>
      </c>
      <c r="G206" s="5">
        <f t="shared" si="3"/>
        <v>1.0191702777777778</v>
      </c>
    </row>
    <row r="207" spans="1:7" x14ac:dyDescent="0.3">
      <c r="A207" s="33">
        <v>46003.473541666666</v>
      </c>
      <c r="B207" s="34">
        <v>2060</v>
      </c>
      <c r="C207" s="34">
        <v>1.0638000000000001</v>
      </c>
      <c r="D207" s="34">
        <v>366.3888</v>
      </c>
      <c r="E207" s="34">
        <v>389.98809999999997</v>
      </c>
      <c r="F207" s="34">
        <v>0</v>
      </c>
      <c r="G207" s="5">
        <f t="shared" si="3"/>
        <v>1.0182327777777778</v>
      </c>
    </row>
    <row r="208" spans="1:7" x14ac:dyDescent="0.3">
      <c r="A208" s="33">
        <v>46003.473657407405</v>
      </c>
      <c r="B208" s="34">
        <v>2070</v>
      </c>
      <c r="C208" s="34">
        <v>1.0638000000000001</v>
      </c>
      <c r="D208" s="34">
        <v>366.11380000000003</v>
      </c>
      <c r="E208" s="34">
        <v>389.36313000000001</v>
      </c>
      <c r="F208" s="34">
        <v>0</v>
      </c>
      <c r="G208" s="5">
        <f t="shared" si="3"/>
        <v>1.0173647222222224</v>
      </c>
    </row>
    <row r="209" spans="1:7" x14ac:dyDescent="0.3">
      <c r="A209" s="33">
        <v>46003.473773148151</v>
      </c>
      <c r="B209" s="34">
        <v>2080</v>
      </c>
      <c r="C209" s="34">
        <v>1.0625</v>
      </c>
      <c r="D209" s="34">
        <v>365.86380000000003</v>
      </c>
      <c r="E209" s="34">
        <v>389.36313000000001</v>
      </c>
      <c r="F209" s="34">
        <v>0</v>
      </c>
      <c r="G209" s="5">
        <f t="shared" si="3"/>
        <v>1.0166355555555557</v>
      </c>
    </row>
    <row r="210" spans="1:7" x14ac:dyDescent="0.3">
      <c r="A210" s="33">
        <v>46003.47388888889</v>
      </c>
      <c r="B210" s="34">
        <v>2090</v>
      </c>
      <c r="C210" s="34">
        <v>1.0625</v>
      </c>
      <c r="D210" s="34">
        <v>365.58879999999999</v>
      </c>
      <c r="E210" s="34">
        <v>388.11315999999999</v>
      </c>
      <c r="F210" s="34">
        <v>0</v>
      </c>
      <c r="G210" s="5">
        <f t="shared" si="3"/>
        <v>1.0159063888888891</v>
      </c>
    </row>
    <row r="211" spans="1:7" x14ac:dyDescent="0.3">
      <c r="A211" s="33">
        <v>46003.474004629628</v>
      </c>
      <c r="B211" s="34">
        <v>2100</v>
      </c>
      <c r="C211" s="34">
        <v>1.0611999999999999</v>
      </c>
      <c r="D211" s="34">
        <v>365.33879999999999</v>
      </c>
      <c r="E211" s="34">
        <v>388.11315999999999</v>
      </c>
      <c r="F211" s="34">
        <v>0</v>
      </c>
      <c r="G211" s="5">
        <f t="shared" si="3"/>
        <v>1.0151772222222222</v>
      </c>
    </row>
    <row r="212" spans="1:7" x14ac:dyDescent="0.3">
      <c r="A212" s="33">
        <v>46003.474120370367</v>
      </c>
      <c r="B212" s="34">
        <v>2110</v>
      </c>
      <c r="C212" s="34">
        <v>1.06</v>
      </c>
      <c r="D212" s="34">
        <v>365.08879999999999</v>
      </c>
      <c r="E212" s="34">
        <v>386.86318999999997</v>
      </c>
      <c r="F212" s="34">
        <v>0</v>
      </c>
      <c r="G212" s="5">
        <f t="shared" si="3"/>
        <v>1.0144827777777778</v>
      </c>
    </row>
    <row r="213" spans="1:7" x14ac:dyDescent="0.3">
      <c r="A213" s="33">
        <v>46003.474236111113</v>
      </c>
      <c r="B213" s="34">
        <v>2120</v>
      </c>
      <c r="C213" s="34">
        <v>1.0611999999999999</v>
      </c>
      <c r="D213" s="34">
        <v>364.8639</v>
      </c>
      <c r="E213" s="34">
        <v>386.86318999999997</v>
      </c>
      <c r="F213" s="34">
        <v>0</v>
      </c>
      <c r="G213" s="5">
        <f t="shared" si="3"/>
        <v>1.0138231944444445</v>
      </c>
    </row>
    <row r="214" spans="1:7" x14ac:dyDescent="0.3">
      <c r="A214" s="33">
        <v>46003.474351851852</v>
      </c>
      <c r="B214" s="34">
        <v>2130</v>
      </c>
      <c r="C214" s="34">
        <v>1.06</v>
      </c>
      <c r="D214" s="34">
        <v>364.66379999999998</v>
      </c>
      <c r="E214" s="34">
        <v>386.23822000000001</v>
      </c>
      <c r="F214" s="34">
        <v>0</v>
      </c>
      <c r="G214" s="5">
        <f t="shared" si="3"/>
        <v>1.0132329166666667</v>
      </c>
    </row>
    <row r="215" spans="1:7" x14ac:dyDescent="0.3">
      <c r="A215" s="33">
        <v>46003.47446759259</v>
      </c>
      <c r="B215" s="34">
        <v>2140</v>
      </c>
      <c r="C215" s="34">
        <v>1.0588</v>
      </c>
      <c r="D215" s="34">
        <v>364.43889999999999</v>
      </c>
      <c r="E215" s="34">
        <v>386.23822000000001</v>
      </c>
      <c r="F215" s="34">
        <v>0</v>
      </c>
      <c r="G215" s="5">
        <f t="shared" si="3"/>
        <v>1.0126426388888887</v>
      </c>
    </row>
    <row r="216" spans="1:7" x14ac:dyDescent="0.3">
      <c r="A216" s="33">
        <v>46003.474583333336</v>
      </c>
      <c r="B216" s="34">
        <v>2150</v>
      </c>
      <c r="C216" s="34">
        <v>1.0588</v>
      </c>
      <c r="D216" s="34">
        <v>364.2389</v>
      </c>
      <c r="E216" s="34">
        <v>386.23822000000001</v>
      </c>
      <c r="F216" s="34">
        <v>0</v>
      </c>
      <c r="G216" s="5">
        <f t="shared" si="3"/>
        <v>1.0120525</v>
      </c>
    </row>
    <row r="217" spans="1:7" x14ac:dyDescent="0.3">
      <c r="A217" s="33">
        <v>46003.474699074075</v>
      </c>
      <c r="B217" s="34">
        <v>2160</v>
      </c>
      <c r="C217" s="34">
        <v>1.0575000000000001</v>
      </c>
      <c r="D217" s="34">
        <v>364.03890000000001</v>
      </c>
      <c r="E217" s="34">
        <v>384.98824999999999</v>
      </c>
      <c r="F217" s="34">
        <v>0</v>
      </c>
      <c r="G217" s="5">
        <f t="shared" si="3"/>
        <v>1.0114969444444446</v>
      </c>
    </row>
    <row r="218" spans="1:7" x14ac:dyDescent="0.3">
      <c r="A218" s="33">
        <v>46003.474814814814</v>
      </c>
      <c r="B218" s="34">
        <v>2170</v>
      </c>
      <c r="C218" s="34">
        <v>1.0575000000000001</v>
      </c>
      <c r="D218" s="34">
        <v>363.83890000000002</v>
      </c>
      <c r="E218" s="34">
        <v>384.36327999999997</v>
      </c>
      <c r="F218" s="34">
        <v>0</v>
      </c>
      <c r="G218" s="5">
        <f t="shared" si="3"/>
        <v>1.010941388888889</v>
      </c>
    </row>
    <row r="219" spans="1:7" x14ac:dyDescent="0.3">
      <c r="A219" s="33">
        <v>46003.474930555552</v>
      </c>
      <c r="B219" s="34">
        <v>2180</v>
      </c>
      <c r="C219" s="34">
        <v>1.0562</v>
      </c>
      <c r="D219" s="34">
        <v>363.63889999999998</v>
      </c>
      <c r="E219" s="34">
        <v>383.73827999999997</v>
      </c>
      <c r="F219" s="34">
        <v>0</v>
      </c>
      <c r="G219" s="5">
        <f t="shared" si="3"/>
        <v>1.0103858333333333</v>
      </c>
    </row>
    <row r="220" spans="1:7" x14ac:dyDescent="0.3">
      <c r="A220" s="33">
        <v>46003.475046296298</v>
      </c>
      <c r="B220" s="34">
        <v>2190</v>
      </c>
      <c r="C220" s="34">
        <v>1.0562</v>
      </c>
      <c r="D220" s="34">
        <v>363.43889999999999</v>
      </c>
      <c r="E220" s="34">
        <v>383.73827999999997</v>
      </c>
      <c r="F220" s="34">
        <v>0</v>
      </c>
      <c r="G220" s="5">
        <f t="shared" si="3"/>
        <v>1.0098302777777779</v>
      </c>
    </row>
    <row r="221" spans="1:7" x14ac:dyDescent="0.3">
      <c r="A221" s="33">
        <v>46003.475162037037</v>
      </c>
      <c r="B221" s="34">
        <v>2200</v>
      </c>
      <c r="C221" s="34">
        <v>1.0549999999999999</v>
      </c>
      <c r="D221" s="34">
        <v>363.26389999999998</v>
      </c>
      <c r="E221" s="34">
        <v>383.11331000000001</v>
      </c>
      <c r="F221" s="34">
        <v>0</v>
      </c>
      <c r="G221" s="5">
        <f t="shared" si="3"/>
        <v>1.0093094444444446</v>
      </c>
    </row>
    <row r="222" spans="1:7" x14ac:dyDescent="0.3">
      <c r="A222" s="33">
        <v>46003.475277777776</v>
      </c>
      <c r="B222" s="34">
        <v>2210</v>
      </c>
      <c r="C222" s="34">
        <v>1.0537000000000001</v>
      </c>
      <c r="D222" s="34">
        <v>363.06389999999999</v>
      </c>
      <c r="E222" s="34">
        <v>383.11331000000001</v>
      </c>
      <c r="F222" s="34">
        <v>0</v>
      </c>
      <c r="G222" s="5">
        <f t="shared" si="3"/>
        <v>1.0087886111111113</v>
      </c>
    </row>
    <row r="223" spans="1:7" x14ac:dyDescent="0.3">
      <c r="A223" s="33">
        <v>46003.475393518522</v>
      </c>
      <c r="B223" s="34">
        <v>2220</v>
      </c>
      <c r="C223" s="34">
        <v>1.0537000000000001</v>
      </c>
      <c r="D223" s="34">
        <v>362.88889999999998</v>
      </c>
      <c r="E223" s="34">
        <v>382.48833999999999</v>
      </c>
      <c r="F223" s="34">
        <v>0</v>
      </c>
      <c r="G223" s="5">
        <f t="shared" si="3"/>
        <v>1.0082677777777778</v>
      </c>
    </row>
    <row r="224" spans="1:7" x14ac:dyDescent="0.3">
      <c r="A224" s="33">
        <v>46003.47550925926</v>
      </c>
      <c r="B224" s="34">
        <v>2230</v>
      </c>
      <c r="C224" s="34">
        <v>1.2825</v>
      </c>
      <c r="D224" s="34">
        <v>0</v>
      </c>
      <c r="E224" s="34">
        <v>0</v>
      </c>
      <c r="F224" s="34">
        <v>1</v>
      </c>
      <c r="G224" s="5">
        <f t="shared" si="3"/>
        <v>0.50401236111111114</v>
      </c>
    </row>
    <row r="225" spans="1:7" x14ac:dyDescent="0.3">
      <c r="A225" s="33">
        <v>46003.475624999999</v>
      </c>
      <c r="B225" s="34">
        <v>2240</v>
      </c>
      <c r="C225" s="34">
        <v>1.2925</v>
      </c>
      <c r="D225" s="34">
        <v>0</v>
      </c>
      <c r="E225" s="34">
        <v>0</v>
      </c>
      <c r="F225" s="34">
        <v>1</v>
      </c>
      <c r="G225" s="5">
        <f t="shared" si="3"/>
        <v>0</v>
      </c>
    </row>
    <row r="226" spans="1:7" x14ac:dyDescent="0.3">
      <c r="A226" s="33">
        <v>46003.475740740738</v>
      </c>
      <c r="B226" s="34">
        <v>2250</v>
      </c>
      <c r="C226" s="34">
        <v>1.2987</v>
      </c>
      <c r="D226" s="34">
        <v>0</v>
      </c>
      <c r="E226" s="34">
        <v>0</v>
      </c>
      <c r="F226" s="34">
        <v>1</v>
      </c>
      <c r="G226" s="5">
        <f t="shared" si="3"/>
        <v>0</v>
      </c>
    </row>
    <row r="227" spans="1:7" x14ac:dyDescent="0.3">
      <c r="A227" s="33">
        <v>46003.475856481484</v>
      </c>
      <c r="B227" s="34">
        <v>2260</v>
      </c>
      <c r="C227" s="34">
        <v>1.3037000000000001</v>
      </c>
      <c r="D227" s="34">
        <v>0</v>
      </c>
      <c r="E227" s="34">
        <v>0</v>
      </c>
      <c r="F227" s="34">
        <v>1</v>
      </c>
      <c r="G227" s="5">
        <f t="shared" si="3"/>
        <v>0</v>
      </c>
    </row>
    <row r="228" spans="1:7" x14ac:dyDescent="0.3">
      <c r="A228" s="33">
        <v>46003.475972222222</v>
      </c>
      <c r="B228" s="34">
        <v>2270</v>
      </c>
      <c r="C228" s="34">
        <v>1.3075000000000001</v>
      </c>
      <c r="D228" s="34">
        <v>0</v>
      </c>
      <c r="E228" s="34">
        <v>0</v>
      </c>
      <c r="F228" s="34">
        <v>1</v>
      </c>
      <c r="G228" s="5">
        <f t="shared" si="3"/>
        <v>0</v>
      </c>
    </row>
    <row r="229" spans="1:7" x14ac:dyDescent="0.3">
      <c r="A229" s="33">
        <v>46003.476087962961</v>
      </c>
      <c r="B229" s="34">
        <v>2280</v>
      </c>
      <c r="C229" s="34">
        <v>1.31</v>
      </c>
      <c r="D229" s="34">
        <v>0</v>
      </c>
      <c r="E229" s="34">
        <v>0</v>
      </c>
      <c r="F229" s="34">
        <v>1</v>
      </c>
      <c r="G229" s="5">
        <f t="shared" si="3"/>
        <v>0</v>
      </c>
    </row>
    <row r="230" spans="1:7" x14ac:dyDescent="0.3">
      <c r="A230" s="33">
        <v>46003.476203703707</v>
      </c>
      <c r="B230" s="34">
        <v>2290</v>
      </c>
      <c r="C230" s="34">
        <v>1.3138000000000001</v>
      </c>
      <c r="D230" s="34">
        <v>0</v>
      </c>
      <c r="E230" s="34">
        <v>0</v>
      </c>
      <c r="F230" s="34">
        <v>1</v>
      </c>
      <c r="G230" s="5">
        <f t="shared" si="3"/>
        <v>0</v>
      </c>
    </row>
    <row r="231" spans="1:7" x14ac:dyDescent="0.3">
      <c r="A231" s="33">
        <v>46003.476319444446</v>
      </c>
      <c r="B231" s="34">
        <v>2300</v>
      </c>
      <c r="C231" s="34">
        <v>1.3162</v>
      </c>
      <c r="D231" s="34">
        <v>0</v>
      </c>
      <c r="E231" s="34">
        <v>0</v>
      </c>
      <c r="F231" s="34">
        <v>1</v>
      </c>
      <c r="G231" s="5">
        <f t="shared" si="3"/>
        <v>0</v>
      </c>
    </row>
    <row r="232" spans="1:7" x14ac:dyDescent="0.3">
      <c r="A232" s="33">
        <v>46003.476435185185</v>
      </c>
      <c r="B232" s="34">
        <v>2310</v>
      </c>
      <c r="C232" s="34">
        <v>1.3174999999999999</v>
      </c>
      <c r="D232" s="34">
        <v>0</v>
      </c>
      <c r="E232" s="34">
        <v>0</v>
      </c>
      <c r="F232" s="34">
        <v>1</v>
      </c>
      <c r="G232" s="5">
        <f t="shared" si="3"/>
        <v>0</v>
      </c>
    </row>
    <row r="233" spans="1:7" x14ac:dyDescent="0.3">
      <c r="A233" s="33">
        <v>46003.476550925923</v>
      </c>
      <c r="B233" s="34">
        <v>2320</v>
      </c>
      <c r="C233" s="34">
        <v>1.0811999999999999</v>
      </c>
      <c r="D233" s="34">
        <v>371.86360000000002</v>
      </c>
      <c r="E233" s="34">
        <v>401.86273</v>
      </c>
      <c r="F233" s="34">
        <v>0</v>
      </c>
      <c r="G233" s="5">
        <f t="shared" si="3"/>
        <v>0.51647722222222225</v>
      </c>
    </row>
    <row r="234" spans="1:7" x14ac:dyDescent="0.3">
      <c r="A234" s="33">
        <v>46003.476666666669</v>
      </c>
      <c r="B234" s="34">
        <v>2330</v>
      </c>
      <c r="C234" s="34">
        <v>1.0738000000000001</v>
      </c>
      <c r="D234" s="34">
        <v>369.41370000000001</v>
      </c>
      <c r="E234" s="34">
        <v>396.23791999999997</v>
      </c>
      <c r="F234" s="34">
        <v>0</v>
      </c>
      <c r="G234" s="5">
        <f t="shared" si="3"/>
        <v>1.0295518055555555</v>
      </c>
    </row>
    <row r="235" spans="1:7" x14ac:dyDescent="0.3">
      <c r="A235" s="33">
        <v>46003.476782407408</v>
      </c>
      <c r="B235" s="34">
        <v>2340</v>
      </c>
      <c r="C235" s="34">
        <v>1.0688</v>
      </c>
      <c r="D235" s="34">
        <v>367.86380000000003</v>
      </c>
      <c r="E235" s="34">
        <v>393.11300999999997</v>
      </c>
      <c r="F235" s="34">
        <v>0</v>
      </c>
      <c r="G235" s="5">
        <f t="shared" si="3"/>
        <v>1.0239965277777778</v>
      </c>
    </row>
    <row r="236" spans="1:7" x14ac:dyDescent="0.3">
      <c r="A236" s="33">
        <v>46003.476898148147</v>
      </c>
      <c r="B236" s="34">
        <v>2350</v>
      </c>
      <c r="C236" s="34">
        <v>1.0649999999999999</v>
      </c>
      <c r="D236" s="34">
        <v>366.78879999999998</v>
      </c>
      <c r="E236" s="34">
        <v>389.98809999999997</v>
      </c>
      <c r="F236" s="34">
        <v>0</v>
      </c>
      <c r="G236" s="5">
        <f t="shared" si="3"/>
        <v>1.0203508333333333</v>
      </c>
    </row>
    <row r="237" spans="1:7" x14ac:dyDescent="0.3">
      <c r="A237" s="33">
        <v>46003.477013888885</v>
      </c>
      <c r="B237" s="34">
        <v>2360</v>
      </c>
      <c r="C237" s="34">
        <v>1.0625</v>
      </c>
      <c r="D237" s="34">
        <v>365.8888</v>
      </c>
      <c r="E237" s="34">
        <v>388.73813000000001</v>
      </c>
      <c r="F237" s="34">
        <v>0</v>
      </c>
      <c r="G237" s="5">
        <f t="shared" si="3"/>
        <v>1.0176077777777779</v>
      </c>
    </row>
    <row r="238" spans="1:7" x14ac:dyDescent="0.3">
      <c r="A238" s="33">
        <v>46003.477129629631</v>
      </c>
      <c r="B238" s="34">
        <v>2370</v>
      </c>
      <c r="C238" s="34">
        <v>1.0588</v>
      </c>
      <c r="D238" s="34">
        <v>365.16379999999998</v>
      </c>
      <c r="E238" s="34">
        <v>386.86318999999997</v>
      </c>
      <c r="F238" s="34">
        <v>0</v>
      </c>
      <c r="G238" s="5">
        <f t="shared" si="3"/>
        <v>1.0153508333333334</v>
      </c>
    </row>
    <row r="239" spans="1:7" x14ac:dyDescent="0.3">
      <c r="A239" s="33">
        <v>46003.47724537037</v>
      </c>
      <c r="B239" s="34">
        <v>2380</v>
      </c>
      <c r="C239" s="34">
        <v>1.0575000000000001</v>
      </c>
      <c r="D239" s="34">
        <v>364.53890000000001</v>
      </c>
      <c r="E239" s="34">
        <v>384.98824999999999</v>
      </c>
      <c r="F239" s="34">
        <v>0</v>
      </c>
      <c r="G239" s="5">
        <f t="shared" si="3"/>
        <v>1.0134759722222224</v>
      </c>
    </row>
    <row r="240" spans="1:7" x14ac:dyDescent="0.3">
      <c r="A240" s="33">
        <v>46003.477361111109</v>
      </c>
      <c r="B240" s="34">
        <v>2390</v>
      </c>
      <c r="C240" s="34">
        <v>1.0575000000000001</v>
      </c>
      <c r="D240" s="34">
        <v>364.01389999999998</v>
      </c>
      <c r="E240" s="34">
        <v>384.98824999999999</v>
      </c>
      <c r="F240" s="34">
        <v>0</v>
      </c>
      <c r="G240" s="5">
        <f t="shared" si="3"/>
        <v>1.0118788888888888</v>
      </c>
    </row>
    <row r="241" spans="1:7" x14ac:dyDescent="0.3">
      <c r="A241" s="33">
        <v>46003.477476851855</v>
      </c>
      <c r="B241" s="34">
        <v>2400</v>
      </c>
      <c r="C241" s="34">
        <v>1.0549999999999999</v>
      </c>
      <c r="D241" s="34">
        <v>363.53890000000001</v>
      </c>
      <c r="E241" s="34">
        <v>383.73827999999997</v>
      </c>
      <c r="F241" s="34">
        <v>0</v>
      </c>
      <c r="G241" s="5">
        <f t="shared" si="3"/>
        <v>1.0104899999999999</v>
      </c>
    </row>
    <row r="242" spans="1:7" x14ac:dyDescent="0.3">
      <c r="A242" s="33">
        <v>46003.47760416667</v>
      </c>
      <c r="B242" s="34">
        <v>2410</v>
      </c>
      <c r="C242" s="34">
        <v>1.0537000000000001</v>
      </c>
      <c r="D242" s="34">
        <v>363.1139</v>
      </c>
      <c r="E242" s="34">
        <v>383.11331000000001</v>
      </c>
      <c r="F242" s="34">
        <v>0</v>
      </c>
      <c r="G242" s="5">
        <f t="shared" si="3"/>
        <v>1.0092400000000001</v>
      </c>
    </row>
    <row r="243" spans="1:7" x14ac:dyDescent="0.3">
      <c r="A243" s="33">
        <v>46003.477719907409</v>
      </c>
      <c r="B243" s="34">
        <v>2420</v>
      </c>
      <c r="C243" s="34">
        <v>1.0525</v>
      </c>
      <c r="D243" s="34">
        <v>362.7389</v>
      </c>
      <c r="E243" s="34">
        <v>381.86333999999999</v>
      </c>
      <c r="F243" s="34">
        <v>0</v>
      </c>
      <c r="G243" s="5">
        <f t="shared" si="3"/>
        <v>1.0081288888888889</v>
      </c>
    </row>
    <row r="244" spans="1:7" x14ac:dyDescent="0.3">
      <c r="A244" s="33">
        <v>46003.477835648147</v>
      </c>
      <c r="B244" s="34">
        <v>2430</v>
      </c>
      <c r="C244" s="34">
        <v>1.0511999999999999</v>
      </c>
      <c r="D244" s="34">
        <v>362.38889999999998</v>
      </c>
      <c r="E244" s="34">
        <v>380.61336999999997</v>
      </c>
      <c r="F244" s="34">
        <v>0</v>
      </c>
      <c r="G244" s="5">
        <f t="shared" si="3"/>
        <v>1.0071219444444444</v>
      </c>
    </row>
    <row r="245" spans="1:7" x14ac:dyDescent="0.3">
      <c r="A245" s="33">
        <v>46003.477951388886</v>
      </c>
      <c r="B245" s="34">
        <v>2440</v>
      </c>
      <c r="C245" s="34">
        <v>1.05</v>
      </c>
      <c r="D245" s="34">
        <v>362.08890000000002</v>
      </c>
      <c r="E245" s="34">
        <v>379.98840000000001</v>
      </c>
      <c r="F245" s="34">
        <v>0</v>
      </c>
      <c r="G245" s="5">
        <f t="shared" si="3"/>
        <v>1.0062191666666667</v>
      </c>
    </row>
    <row r="246" spans="1:7" x14ac:dyDescent="0.3">
      <c r="A246" s="33">
        <v>46003.478067129632</v>
      </c>
      <c r="B246" s="34">
        <v>2450</v>
      </c>
      <c r="C246" s="34">
        <v>1.05</v>
      </c>
      <c r="D246" s="34">
        <v>361.76389999999998</v>
      </c>
      <c r="E246" s="34">
        <v>379.36342999999999</v>
      </c>
      <c r="F246" s="34">
        <v>0</v>
      </c>
      <c r="G246" s="5">
        <f t="shared" si="3"/>
        <v>1.0053511111111111</v>
      </c>
    </row>
    <row r="247" spans="1:7" x14ac:dyDescent="0.3">
      <c r="A247" s="33">
        <v>46003.478182870371</v>
      </c>
      <c r="B247" s="34">
        <v>2460</v>
      </c>
      <c r="C247" s="34">
        <v>1.0487</v>
      </c>
      <c r="D247" s="34">
        <v>361.48899999999998</v>
      </c>
      <c r="E247" s="34">
        <v>378.73842999999999</v>
      </c>
      <c r="F247" s="34">
        <v>0</v>
      </c>
      <c r="G247" s="5">
        <f t="shared" si="3"/>
        <v>1.0045179166666667</v>
      </c>
    </row>
    <row r="248" spans="1:7" x14ac:dyDescent="0.3">
      <c r="A248" s="33">
        <v>46003.478298611109</v>
      </c>
      <c r="B248" s="34">
        <v>2470</v>
      </c>
      <c r="C248" s="34">
        <v>1.0487</v>
      </c>
      <c r="D248" s="34">
        <v>361.23899999999998</v>
      </c>
      <c r="E248" s="34">
        <v>378.73842999999999</v>
      </c>
      <c r="F248" s="34">
        <v>0</v>
      </c>
      <c r="G248" s="5">
        <f t="shared" si="3"/>
        <v>1.0037888888888888</v>
      </c>
    </row>
    <row r="249" spans="1:7" x14ac:dyDescent="0.3">
      <c r="A249" s="33">
        <v>46003.478414351855</v>
      </c>
      <c r="B249" s="34">
        <v>2480</v>
      </c>
      <c r="C249" s="34">
        <v>1.0475000000000001</v>
      </c>
      <c r="D249" s="34">
        <v>360.98899999999998</v>
      </c>
      <c r="E249" s="34">
        <v>378.11345999999998</v>
      </c>
      <c r="F249" s="34">
        <v>0</v>
      </c>
      <c r="G249" s="5">
        <f t="shared" si="3"/>
        <v>1.0030944444444445</v>
      </c>
    </row>
    <row r="250" spans="1:7" x14ac:dyDescent="0.3">
      <c r="A250" s="33">
        <v>46003.478530092594</v>
      </c>
      <c r="B250" s="34">
        <v>2490</v>
      </c>
      <c r="C250" s="34">
        <v>1.0462</v>
      </c>
      <c r="D250" s="34">
        <v>360.76400000000001</v>
      </c>
      <c r="E250" s="34">
        <v>378.11345999999998</v>
      </c>
      <c r="F250" s="34">
        <v>0</v>
      </c>
      <c r="G250" s="5">
        <f t="shared" si="3"/>
        <v>1.0024347222222221</v>
      </c>
    </row>
    <row r="251" spans="1:7" x14ac:dyDescent="0.3">
      <c r="A251" s="33">
        <v>46003.478645833333</v>
      </c>
      <c r="B251" s="34">
        <v>2500</v>
      </c>
      <c r="C251" s="34">
        <v>1.0462</v>
      </c>
      <c r="D251" s="34">
        <v>360.53899999999999</v>
      </c>
      <c r="E251" s="34">
        <v>376.86349000000001</v>
      </c>
      <c r="F251" s="34">
        <v>0</v>
      </c>
      <c r="G251" s="5">
        <f t="shared" si="3"/>
        <v>1.0018097222222222</v>
      </c>
    </row>
    <row r="252" spans="1:7" x14ac:dyDescent="0.3">
      <c r="A252" s="33">
        <v>46003.478761574072</v>
      </c>
      <c r="B252" s="34">
        <v>2510</v>
      </c>
      <c r="C252" s="34">
        <v>1.0449999999999999</v>
      </c>
      <c r="D252" s="34">
        <v>360.31400000000002</v>
      </c>
      <c r="E252" s="34">
        <v>376.86349000000001</v>
      </c>
      <c r="F252" s="34">
        <v>0</v>
      </c>
      <c r="G252" s="5">
        <f t="shared" si="3"/>
        <v>1.0011847222222223</v>
      </c>
    </row>
    <row r="253" spans="1:7" x14ac:dyDescent="0.3">
      <c r="A253" s="33">
        <v>46003.478877314818</v>
      </c>
      <c r="B253" s="34">
        <v>2520</v>
      </c>
      <c r="C253" s="34">
        <v>1.0449999999999999</v>
      </c>
      <c r="D253" s="34">
        <v>360.11399999999998</v>
      </c>
      <c r="E253" s="34">
        <v>375.61353000000003</v>
      </c>
      <c r="F253" s="34">
        <v>0</v>
      </c>
      <c r="G253" s="5">
        <f t="shared" si="3"/>
        <v>1.0005944444444446</v>
      </c>
    </row>
    <row r="254" spans="1:7" x14ac:dyDescent="0.3">
      <c r="A254" s="33">
        <v>46003.478993055556</v>
      </c>
      <c r="B254" s="34">
        <v>2530</v>
      </c>
      <c r="C254" s="34">
        <v>1.0437000000000001</v>
      </c>
      <c r="D254" s="34">
        <v>359.91399999999999</v>
      </c>
      <c r="E254" s="34">
        <v>375.61353000000003</v>
      </c>
      <c r="F254" s="34">
        <v>0</v>
      </c>
      <c r="G254" s="5">
        <f t="shared" si="3"/>
        <v>1.0000388888888889</v>
      </c>
    </row>
    <row r="255" spans="1:7" x14ac:dyDescent="0.3">
      <c r="A255" s="33">
        <v>46003.479108796295</v>
      </c>
      <c r="B255" s="34">
        <v>2540</v>
      </c>
      <c r="C255" s="34">
        <v>1.0437000000000001</v>
      </c>
      <c r="D255" s="34">
        <v>359.73899999999998</v>
      </c>
      <c r="E255" s="34">
        <v>375.61353000000003</v>
      </c>
      <c r="F255" s="34">
        <v>0</v>
      </c>
      <c r="G255" s="5">
        <f t="shared" si="3"/>
        <v>0.99951805555555562</v>
      </c>
    </row>
    <row r="256" spans="1:7" x14ac:dyDescent="0.3">
      <c r="A256" s="33">
        <v>46003.479224537034</v>
      </c>
      <c r="B256" s="34">
        <v>2550</v>
      </c>
      <c r="C256" s="34">
        <v>1.0425</v>
      </c>
      <c r="D256" s="34">
        <v>359.53899999999999</v>
      </c>
      <c r="E256" s="34">
        <v>374.98856000000001</v>
      </c>
      <c r="F256" s="34">
        <v>0</v>
      </c>
      <c r="G256" s="5">
        <f t="shared" si="3"/>
        <v>0.99899722222222231</v>
      </c>
    </row>
    <row r="257" spans="1:7" x14ac:dyDescent="0.3">
      <c r="A257" s="33">
        <v>46003.47934027778</v>
      </c>
      <c r="B257" s="34">
        <v>2560</v>
      </c>
      <c r="C257" s="34">
        <v>1.0425</v>
      </c>
      <c r="D257" s="34">
        <v>359.339</v>
      </c>
      <c r="E257" s="34">
        <v>374.36358999999999</v>
      </c>
      <c r="F257" s="34">
        <v>0</v>
      </c>
      <c r="G257" s="5">
        <f t="shared" si="3"/>
        <v>0.99844166666666656</v>
      </c>
    </row>
    <row r="258" spans="1:7" x14ac:dyDescent="0.3">
      <c r="A258" s="33">
        <v>46003.479456018518</v>
      </c>
      <c r="B258" s="34">
        <v>2570</v>
      </c>
      <c r="C258" s="34">
        <v>1.0411999999999999</v>
      </c>
      <c r="D258" s="34">
        <v>359.16399999999999</v>
      </c>
      <c r="E258" s="34">
        <v>373.73858999999999</v>
      </c>
      <c r="F258" s="34">
        <v>0</v>
      </c>
      <c r="G258" s="5">
        <f t="shared" si="3"/>
        <v>0.99792083333333326</v>
      </c>
    </row>
    <row r="259" spans="1:7" x14ac:dyDescent="0.3">
      <c r="A259" s="33">
        <v>46003.479571759257</v>
      </c>
      <c r="B259" s="34">
        <v>2580</v>
      </c>
      <c r="C259" s="34">
        <v>1.0411999999999999</v>
      </c>
      <c r="D259" s="34">
        <v>358.98899999999998</v>
      </c>
      <c r="E259" s="34">
        <v>373.73858999999999</v>
      </c>
      <c r="F259" s="34">
        <v>0</v>
      </c>
      <c r="G259" s="5">
        <f t="shared" si="3"/>
        <v>0.99743472222222229</v>
      </c>
    </row>
    <row r="260" spans="1:7" x14ac:dyDescent="0.3">
      <c r="A260" s="33">
        <v>46003.479687500003</v>
      </c>
      <c r="B260" s="34">
        <v>2590</v>
      </c>
      <c r="C260" s="34">
        <v>1.04</v>
      </c>
      <c r="D260" s="34">
        <v>358.81400000000002</v>
      </c>
      <c r="E260" s="34">
        <v>372.48865000000001</v>
      </c>
      <c r="F260" s="34">
        <v>0</v>
      </c>
      <c r="G260" s="5">
        <f t="shared" si="3"/>
        <v>0.9969486111111111</v>
      </c>
    </row>
    <row r="261" spans="1:7" x14ac:dyDescent="0.3">
      <c r="A261" s="33">
        <v>46003.479803240742</v>
      </c>
      <c r="B261" s="34">
        <v>2600</v>
      </c>
      <c r="C261" s="34">
        <v>1.0425</v>
      </c>
      <c r="D261" s="34">
        <v>358.63900000000001</v>
      </c>
      <c r="E261" s="34">
        <v>373.73858999999999</v>
      </c>
      <c r="F261" s="34">
        <v>0</v>
      </c>
      <c r="G261" s="5">
        <f t="shared" si="3"/>
        <v>0.99646250000000003</v>
      </c>
    </row>
    <row r="262" spans="1:7" x14ac:dyDescent="0.3">
      <c r="A262" s="33">
        <v>46003.47991898148</v>
      </c>
      <c r="B262" s="34">
        <v>2610</v>
      </c>
      <c r="C262" s="34">
        <v>1.0411999999999999</v>
      </c>
      <c r="D262" s="34">
        <v>358.4391</v>
      </c>
      <c r="E262" s="34">
        <v>372.48865000000001</v>
      </c>
      <c r="F262" s="34">
        <v>0</v>
      </c>
      <c r="G262" s="5">
        <f t="shared" si="3"/>
        <v>0.99594180555555556</v>
      </c>
    </row>
    <row r="263" spans="1:7" x14ac:dyDescent="0.3">
      <c r="A263" s="33">
        <v>46003.480034722219</v>
      </c>
      <c r="B263" s="34">
        <v>2620</v>
      </c>
      <c r="C263" s="34">
        <v>1.2725</v>
      </c>
      <c r="D263" s="34">
        <v>0</v>
      </c>
      <c r="E263" s="34">
        <v>0</v>
      </c>
      <c r="F263" s="34">
        <v>1</v>
      </c>
      <c r="G263" s="5">
        <f t="shared" ref="G263:G326" si="4">($B$2/3600)*((D262+D263)/2)</f>
        <v>0.49783208333333334</v>
      </c>
    </row>
    <row r="264" spans="1:7" x14ac:dyDescent="0.3">
      <c r="A264" s="33">
        <v>46003.480150462965</v>
      </c>
      <c r="B264" s="34">
        <v>2630</v>
      </c>
      <c r="C264" s="34">
        <v>1.2786999999999999</v>
      </c>
      <c r="D264" s="34">
        <v>0</v>
      </c>
      <c r="E264" s="34">
        <v>0</v>
      </c>
      <c r="F264" s="34">
        <v>1</v>
      </c>
      <c r="G264" s="5">
        <f t="shared" si="4"/>
        <v>0</v>
      </c>
    </row>
    <row r="265" spans="1:7" x14ac:dyDescent="0.3">
      <c r="A265" s="33">
        <v>46003.480266203704</v>
      </c>
      <c r="B265" s="34">
        <v>2640</v>
      </c>
      <c r="C265" s="34">
        <v>1.2837000000000001</v>
      </c>
      <c r="D265" s="34">
        <v>0</v>
      </c>
      <c r="E265" s="34">
        <v>0</v>
      </c>
      <c r="F265" s="34">
        <v>1</v>
      </c>
      <c r="G265" s="5">
        <f t="shared" si="4"/>
        <v>0</v>
      </c>
    </row>
    <row r="266" spans="1:7" x14ac:dyDescent="0.3">
      <c r="A266" s="33">
        <v>46003.480381944442</v>
      </c>
      <c r="B266" s="34">
        <v>2650</v>
      </c>
      <c r="C266" s="34">
        <v>1.29</v>
      </c>
      <c r="D266" s="34">
        <v>0</v>
      </c>
      <c r="E266" s="34">
        <v>0</v>
      </c>
      <c r="F266" s="34">
        <v>1</v>
      </c>
      <c r="G266" s="5">
        <f t="shared" si="4"/>
        <v>0</v>
      </c>
    </row>
    <row r="267" spans="1:7" x14ac:dyDescent="0.3">
      <c r="A267" s="33">
        <v>46003.480497685188</v>
      </c>
      <c r="B267" s="34">
        <v>2660</v>
      </c>
      <c r="C267" s="34">
        <v>1.2937000000000001</v>
      </c>
      <c r="D267" s="34">
        <v>0</v>
      </c>
      <c r="E267" s="34">
        <v>0</v>
      </c>
      <c r="F267" s="34">
        <v>1</v>
      </c>
      <c r="G267" s="5">
        <f t="shared" si="4"/>
        <v>0</v>
      </c>
    </row>
    <row r="268" spans="1:7" x14ac:dyDescent="0.3">
      <c r="A268" s="33">
        <v>46003.480613425927</v>
      </c>
      <c r="B268" s="34">
        <v>2670</v>
      </c>
      <c r="C268" s="34">
        <v>1.2975000000000001</v>
      </c>
      <c r="D268" s="34">
        <v>0</v>
      </c>
      <c r="E268" s="34">
        <v>0</v>
      </c>
      <c r="F268" s="34">
        <v>1</v>
      </c>
      <c r="G268" s="5">
        <f t="shared" si="4"/>
        <v>0</v>
      </c>
    </row>
    <row r="269" spans="1:7" x14ac:dyDescent="0.3">
      <c r="A269" s="33">
        <v>46003.480729166666</v>
      </c>
      <c r="B269" s="34">
        <v>2680</v>
      </c>
      <c r="C269" s="34">
        <v>1.2987</v>
      </c>
      <c r="D269" s="34">
        <v>0</v>
      </c>
      <c r="E269" s="34">
        <v>0</v>
      </c>
      <c r="F269" s="34">
        <v>1</v>
      </c>
      <c r="G269" s="5">
        <f t="shared" si="4"/>
        <v>0</v>
      </c>
    </row>
    <row r="270" spans="1:7" x14ac:dyDescent="0.3">
      <c r="A270" s="33">
        <v>46003.480844907404</v>
      </c>
      <c r="B270" s="34">
        <v>2690</v>
      </c>
      <c r="C270" s="34">
        <v>1.3025</v>
      </c>
      <c r="D270" s="34">
        <v>0</v>
      </c>
      <c r="E270" s="34">
        <v>0</v>
      </c>
      <c r="F270" s="34">
        <v>1</v>
      </c>
      <c r="G270" s="5">
        <f t="shared" si="4"/>
        <v>0</v>
      </c>
    </row>
    <row r="271" spans="1:7" x14ac:dyDescent="0.3">
      <c r="A271" s="33">
        <v>46003.48096064815</v>
      </c>
      <c r="B271" s="34">
        <v>2700</v>
      </c>
      <c r="C271" s="34">
        <v>1.3037000000000001</v>
      </c>
      <c r="D271" s="34">
        <v>0</v>
      </c>
      <c r="E271" s="34">
        <v>0</v>
      </c>
      <c r="F271" s="34">
        <v>1</v>
      </c>
      <c r="G271" s="5">
        <f t="shared" si="4"/>
        <v>0</v>
      </c>
    </row>
    <row r="272" spans="1:7" x14ac:dyDescent="0.3">
      <c r="A272" s="33">
        <v>46003.481076388889</v>
      </c>
      <c r="B272" s="34">
        <v>2710</v>
      </c>
      <c r="C272" s="34">
        <v>1.0674999999999999</v>
      </c>
      <c r="D272" s="34">
        <v>367.31380000000001</v>
      </c>
      <c r="E272" s="34">
        <v>392.48804000000001</v>
      </c>
      <c r="F272" s="34">
        <v>0</v>
      </c>
      <c r="G272" s="5">
        <f t="shared" si="4"/>
        <v>0.5101580555555556</v>
      </c>
    </row>
    <row r="273" spans="1:7" x14ac:dyDescent="0.3">
      <c r="A273" s="33">
        <v>46003.481192129628</v>
      </c>
      <c r="B273" s="34">
        <v>2720</v>
      </c>
      <c r="C273" s="34">
        <v>1.06</v>
      </c>
      <c r="D273" s="34">
        <v>364.8639</v>
      </c>
      <c r="E273" s="34">
        <v>386.86318999999997</v>
      </c>
      <c r="F273" s="34">
        <v>0</v>
      </c>
      <c r="G273" s="5">
        <f t="shared" si="4"/>
        <v>1.0169134722222222</v>
      </c>
    </row>
    <row r="274" spans="1:7" x14ac:dyDescent="0.3">
      <c r="A274" s="33">
        <v>46003.481307870374</v>
      </c>
      <c r="B274" s="34">
        <v>2730</v>
      </c>
      <c r="C274" s="34">
        <v>1.0549999999999999</v>
      </c>
      <c r="D274" s="34">
        <v>363.38889999999998</v>
      </c>
      <c r="E274" s="34">
        <v>383.11331000000001</v>
      </c>
      <c r="F274" s="34">
        <v>0</v>
      </c>
      <c r="G274" s="5">
        <f t="shared" si="4"/>
        <v>1.0114622222222223</v>
      </c>
    </row>
    <row r="275" spans="1:7" x14ac:dyDescent="0.3">
      <c r="A275" s="33">
        <v>46003.481423611112</v>
      </c>
      <c r="B275" s="34">
        <v>2740</v>
      </c>
      <c r="C275" s="34">
        <v>1.0511999999999999</v>
      </c>
      <c r="D275" s="34">
        <v>362.28890000000001</v>
      </c>
      <c r="E275" s="34">
        <v>380.61336999999997</v>
      </c>
      <c r="F275" s="34">
        <v>0</v>
      </c>
      <c r="G275" s="5">
        <f t="shared" si="4"/>
        <v>1.0078858333333334</v>
      </c>
    </row>
    <row r="276" spans="1:7" x14ac:dyDescent="0.3">
      <c r="A276" s="33">
        <v>46003.481539351851</v>
      </c>
      <c r="B276" s="34">
        <v>2750</v>
      </c>
      <c r="C276" s="34">
        <v>1.0487</v>
      </c>
      <c r="D276" s="34">
        <v>361.43900000000002</v>
      </c>
      <c r="E276" s="34">
        <v>379.36342999999999</v>
      </c>
      <c r="F276" s="34">
        <v>0</v>
      </c>
      <c r="G276" s="5">
        <f t="shared" si="4"/>
        <v>1.0051776388888891</v>
      </c>
    </row>
    <row r="277" spans="1:7" x14ac:dyDescent="0.3">
      <c r="A277" s="33">
        <v>46003.48165509259</v>
      </c>
      <c r="B277" s="34">
        <v>2760</v>
      </c>
      <c r="C277" s="34">
        <v>1.0462</v>
      </c>
      <c r="D277" s="34">
        <v>360.714</v>
      </c>
      <c r="E277" s="34">
        <v>378.11345999999998</v>
      </c>
      <c r="F277" s="34">
        <v>0</v>
      </c>
      <c r="G277" s="5">
        <f t="shared" si="4"/>
        <v>1.0029902777777779</v>
      </c>
    </row>
    <row r="278" spans="1:7" x14ac:dyDescent="0.3">
      <c r="A278" s="33">
        <v>46003.481770833336</v>
      </c>
      <c r="B278" s="34">
        <v>2770</v>
      </c>
      <c r="C278" s="34">
        <v>1.0437000000000001</v>
      </c>
      <c r="D278" s="34">
        <v>360.11399999999998</v>
      </c>
      <c r="E278" s="34">
        <v>375.61353000000003</v>
      </c>
      <c r="F278" s="34">
        <v>0</v>
      </c>
      <c r="G278" s="5">
        <f t="shared" si="4"/>
        <v>1.00115</v>
      </c>
    </row>
    <row r="279" spans="1:7" x14ac:dyDescent="0.3">
      <c r="A279" s="33">
        <v>46003.481886574074</v>
      </c>
      <c r="B279" s="34">
        <v>2780</v>
      </c>
      <c r="C279" s="34">
        <v>1.0437000000000001</v>
      </c>
      <c r="D279" s="34">
        <v>359.589</v>
      </c>
      <c r="E279" s="34">
        <v>374.98856000000001</v>
      </c>
      <c r="F279" s="34">
        <v>0</v>
      </c>
      <c r="G279" s="5">
        <f t="shared" si="4"/>
        <v>0.99958749999999996</v>
      </c>
    </row>
    <row r="280" spans="1:7" x14ac:dyDescent="0.3">
      <c r="A280" s="33">
        <v>46003.482002314813</v>
      </c>
      <c r="B280" s="34">
        <v>2790</v>
      </c>
      <c r="C280" s="34">
        <v>1.0411999999999999</v>
      </c>
      <c r="D280" s="34">
        <v>359.13900000000001</v>
      </c>
      <c r="E280" s="34">
        <v>373.73858999999999</v>
      </c>
      <c r="F280" s="34">
        <v>0</v>
      </c>
      <c r="G280" s="5">
        <f t="shared" si="4"/>
        <v>0.99823333333333342</v>
      </c>
    </row>
    <row r="281" spans="1:7" x14ac:dyDescent="0.3">
      <c r="A281" s="33">
        <v>46003.482118055559</v>
      </c>
      <c r="B281" s="34">
        <v>2800</v>
      </c>
      <c r="C281" s="34">
        <v>1.04</v>
      </c>
      <c r="D281" s="34">
        <v>358.73899999999998</v>
      </c>
      <c r="E281" s="34">
        <v>372.48865000000001</v>
      </c>
      <c r="F281" s="34">
        <v>0</v>
      </c>
      <c r="G281" s="5">
        <f t="shared" si="4"/>
        <v>0.99705277777777768</v>
      </c>
    </row>
    <row r="282" spans="1:7" x14ac:dyDescent="0.3">
      <c r="A282" s="33">
        <v>46003.482233796298</v>
      </c>
      <c r="B282" s="34">
        <v>2810</v>
      </c>
      <c r="C282" s="34">
        <v>1.0411999999999999</v>
      </c>
      <c r="D282" s="34">
        <v>358.36399999999998</v>
      </c>
      <c r="E282" s="34">
        <v>372.48865000000001</v>
      </c>
      <c r="F282" s="34">
        <v>0</v>
      </c>
      <c r="G282" s="5">
        <f t="shared" si="4"/>
        <v>0.99597638888888884</v>
      </c>
    </row>
    <row r="283" spans="1:7" x14ac:dyDescent="0.3">
      <c r="A283" s="33">
        <v>46003.482349537036</v>
      </c>
      <c r="B283" s="34">
        <v>2820</v>
      </c>
      <c r="C283" s="34">
        <v>1.04</v>
      </c>
      <c r="D283" s="34">
        <v>358.03910000000002</v>
      </c>
      <c r="E283" s="34">
        <v>372.48865000000001</v>
      </c>
      <c r="F283" s="34">
        <v>0</v>
      </c>
      <c r="G283" s="5">
        <f t="shared" si="4"/>
        <v>0.99500430555555563</v>
      </c>
    </row>
    <row r="284" spans="1:7" x14ac:dyDescent="0.3">
      <c r="A284" s="33">
        <v>46003.482465277775</v>
      </c>
      <c r="B284" s="34">
        <v>2830</v>
      </c>
      <c r="C284" s="34">
        <v>1.0387</v>
      </c>
      <c r="D284" s="34">
        <v>357.71409999999997</v>
      </c>
      <c r="E284" s="34">
        <v>371.86365000000001</v>
      </c>
      <c r="F284" s="34">
        <v>0</v>
      </c>
      <c r="G284" s="5">
        <f t="shared" si="4"/>
        <v>0.99410166666666666</v>
      </c>
    </row>
    <row r="285" spans="1:7" x14ac:dyDescent="0.3">
      <c r="A285" s="33">
        <v>46003.482581018521</v>
      </c>
      <c r="B285" s="34">
        <v>2840</v>
      </c>
      <c r="C285" s="34">
        <v>1.0387</v>
      </c>
      <c r="D285" s="34">
        <v>357.41410000000002</v>
      </c>
      <c r="E285" s="34">
        <v>371.23867999999999</v>
      </c>
      <c r="F285" s="34">
        <v>0</v>
      </c>
      <c r="G285" s="5">
        <f t="shared" si="4"/>
        <v>0.99323361111111119</v>
      </c>
    </row>
    <row r="286" spans="1:7" x14ac:dyDescent="0.3">
      <c r="A286" s="33">
        <v>46003.48269675926</v>
      </c>
      <c r="B286" s="34">
        <v>2850</v>
      </c>
      <c r="C286" s="34">
        <v>1.0375000000000001</v>
      </c>
      <c r="D286" s="34">
        <v>357.13909999999998</v>
      </c>
      <c r="E286" s="34">
        <v>370.61367999999999</v>
      </c>
      <c r="F286" s="34">
        <v>0</v>
      </c>
      <c r="G286" s="5">
        <f t="shared" si="4"/>
        <v>0.99243500000000007</v>
      </c>
    </row>
    <row r="287" spans="1:7" x14ac:dyDescent="0.3">
      <c r="A287" s="33">
        <v>46003.482812499999</v>
      </c>
      <c r="B287" s="34">
        <v>2860</v>
      </c>
      <c r="C287" s="34">
        <v>1.0362</v>
      </c>
      <c r="D287" s="34">
        <v>356.88909999999998</v>
      </c>
      <c r="E287" s="34">
        <v>369.98871000000003</v>
      </c>
      <c r="F287" s="34">
        <v>0</v>
      </c>
      <c r="G287" s="5">
        <f t="shared" si="4"/>
        <v>0.99170583333333329</v>
      </c>
    </row>
    <row r="288" spans="1:7" x14ac:dyDescent="0.3">
      <c r="A288" s="33">
        <v>46003.482928240737</v>
      </c>
      <c r="B288" s="34">
        <v>2870</v>
      </c>
      <c r="C288" s="34">
        <v>1.0349999999999999</v>
      </c>
      <c r="D288" s="34">
        <v>356.66410000000002</v>
      </c>
      <c r="E288" s="34">
        <v>368.73874000000001</v>
      </c>
      <c r="F288" s="34">
        <v>0</v>
      </c>
      <c r="G288" s="5">
        <f t="shared" si="4"/>
        <v>0.99104611111111118</v>
      </c>
    </row>
    <row r="289" spans="1:7" x14ac:dyDescent="0.3">
      <c r="A289" s="33">
        <v>46003.483043981483</v>
      </c>
      <c r="B289" s="34">
        <v>2880</v>
      </c>
      <c r="C289" s="34">
        <v>1.0349999999999999</v>
      </c>
      <c r="D289" s="34">
        <v>356.4391</v>
      </c>
      <c r="E289" s="34">
        <v>368.73874000000001</v>
      </c>
      <c r="F289" s="34">
        <v>0</v>
      </c>
      <c r="G289" s="5">
        <f t="shared" si="4"/>
        <v>0.9904211111111112</v>
      </c>
    </row>
    <row r="290" spans="1:7" x14ac:dyDescent="0.3">
      <c r="A290" s="33">
        <v>46003.483159722222</v>
      </c>
      <c r="B290" s="34">
        <v>2890</v>
      </c>
      <c r="C290" s="34">
        <v>1.0337000000000001</v>
      </c>
      <c r="D290" s="34">
        <v>356.21409999999997</v>
      </c>
      <c r="E290" s="34">
        <v>368.73874000000001</v>
      </c>
      <c r="F290" s="34">
        <v>0</v>
      </c>
      <c r="G290" s="5">
        <f t="shared" si="4"/>
        <v>0.9897961111111111</v>
      </c>
    </row>
    <row r="291" spans="1:7" x14ac:dyDescent="0.3">
      <c r="A291" s="33">
        <v>46003.483275462961</v>
      </c>
      <c r="B291" s="34">
        <v>2900</v>
      </c>
      <c r="C291" s="34">
        <v>1.0337000000000001</v>
      </c>
      <c r="D291" s="34">
        <v>356.01409999999998</v>
      </c>
      <c r="E291" s="34">
        <v>367.48876999999999</v>
      </c>
      <c r="F291" s="34">
        <v>0</v>
      </c>
      <c r="G291" s="5">
        <f t="shared" si="4"/>
        <v>0.98920583333333334</v>
      </c>
    </row>
    <row r="292" spans="1:7" x14ac:dyDescent="0.3">
      <c r="A292" s="33">
        <v>46003.483391203707</v>
      </c>
      <c r="B292" s="34">
        <v>2910</v>
      </c>
      <c r="C292" s="34">
        <v>1.0325</v>
      </c>
      <c r="D292" s="34">
        <v>355.8141</v>
      </c>
      <c r="E292" s="34">
        <v>367.48876999999999</v>
      </c>
      <c r="F292" s="34">
        <v>0</v>
      </c>
      <c r="G292" s="5">
        <f t="shared" si="4"/>
        <v>0.9886502777777777</v>
      </c>
    </row>
    <row r="293" spans="1:7" x14ac:dyDescent="0.3">
      <c r="A293" s="33">
        <v>46003.483506944445</v>
      </c>
      <c r="B293" s="34">
        <v>2920</v>
      </c>
      <c r="C293" s="34">
        <v>1.0325</v>
      </c>
      <c r="D293" s="34">
        <v>355.61410000000001</v>
      </c>
      <c r="E293" s="34">
        <v>367.48876999999999</v>
      </c>
      <c r="F293" s="34">
        <v>0</v>
      </c>
      <c r="G293" s="5">
        <f t="shared" si="4"/>
        <v>0.98809472222222239</v>
      </c>
    </row>
    <row r="294" spans="1:7" x14ac:dyDescent="0.3">
      <c r="A294" s="33">
        <v>46003.483622685184</v>
      </c>
      <c r="B294" s="34">
        <v>2930</v>
      </c>
      <c r="C294" s="34">
        <v>1.0313000000000001</v>
      </c>
      <c r="D294" s="34">
        <v>355.4391</v>
      </c>
      <c r="E294" s="34">
        <v>366.86380000000003</v>
      </c>
      <c r="F294" s="34">
        <v>0</v>
      </c>
      <c r="G294" s="5">
        <f t="shared" si="4"/>
        <v>0.98757388888888897</v>
      </c>
    </row>
    <row r="295" spans="1:7" x14ac:dyDescent="0.3">
      <c r="A295" s="33">
        <v>46003.483738425923</v>
      </c>
      <c r="B295" s="34">
        <v>2940</v>
      </c>
      <c r="C295" s="34">
        <v>1.0313000000000001</v>
      </c>
      <c r="D295" s="34">
        <v>355.26420000000002</v>
      </c>
      <c r="E295" s="34">
        <v>366.86380000000003</v>
      </c>
      <c r="F295" s="34">
        <v>0</v>
      </c>
      <c r="G295" s="5">
        <f t="shared" si="4"/>
        <v>0.98708791666666673</v>
      </c>
    </row>
    <row r="296" spans="1:7" x14ac:dyDescent="0.3">
      <c r="A296" s="33">
        <v>46003.483854166669</v>
      </c>
      <c r="B296" s="34">
        <v>2950</v>
      </c>
      <c r="C296" s="34">
        <v>1.03</v>
      </c>
      <c r="D296" s="34">
        <v>355.08909999999997</v>
      </c>
      <c r="E296" s="34">
        <v>365.61383000000001</v>
      </c>
      <c r="F296" s="34">
        <v>0</v>
      </c>
      <c r="G296" s="5">
        <f t="shared" si="4"/>
        <v>0.98660180555555554</v>
      </c>
    </row>
    <row r="297" spans="1:7" x14ac:dyDescent="0.3">
      <c r="A297" s="33">
        <v>46003.483969907407</v>
      </c>
      <c r="B297" s="34">
        <v>2960</v>
      </c>
      <c r="C297" s="34">
        <v>1.03</v>
      </c>
      <c r="D297" s="34">
        <v>354.91419999999999</v>
      </c>
      <c r="E297" s="34">
        <v>365.61383000000001</v>
      </c>
      <c r="F297" s="34">
        <v>0</v>
      </c>
      <c r="G297" s="5">
        <f t="shared" si="4"/>
        <v>0.98611569444444447</v>
      </c>
    </row>
    <row r="298" spans="1:7" x14ac:dyDescent="0.3">
      <c r="A298" s="33">
        <v>46003.484085648146</v>
      </c>
      <c r="B298" s="34">
        <v>2970</v>
      </c>
      <c r="C298" s="34">
        <v>1.0286999999999999</v>
      </c>
      <c r="D298" s="34">
        <v>354.73919999999998</v>
      </c>
      <c r="E298" s="34">
        <v>364.98885999999999</v>
      </c>
      <c r="F298" s="34">
        <v>0</v>
      </c>
      <c r="G298" s="5">
        <f t="shared" si="4"/>
        <v>0.98562972222222212</v>
      </c>
    </row>
    <row r="299" spans="1:7" x14ac:dyDescent="0.3">
      <c r="A299" s="33">
        <v>46003.484201388892</v>
      </c>
      <c r="B299" s="34">
        <v>2980</v>
      </c>
      <c r="C299" s="34">
        <v>1.03</v>
      </c>
      <c r="D299" s="34">
        <v>354.56420000000003</v>
      </c>
      <c r="E299" s="34">
        <v>364.98885999999999</v>
      </c>
      <c r="F299" s="34">
        <v>0</v>
      </c>
      <c r="G299" s="5">
        <f t="shared" si="4"/>
        <v>0.98514361111111115</v>
      </c>
    </row>
    <row r="300" spans="1:7" x14ac:dyDescent="0.3">
      <c r="A300" s="33">
        <v>46003.484317129631</v>
      </c>
      <c r="B300" s="34">
        <v>2990</v>
      </c>
      <c r="C300" s="34">
        <v>1.0286999999999999</v>
      </c>
      <c r="D300" s="34">
        <v>354.38920000000002</v>
      </c>
      <c r="E300" s="34">
        <v>364.36389000000003</v>
      </c>
      <c r="F300" s="34">
        <v>0</v>
      </c>
      <c r="G300" s="5">
        <f t="shared" si="4"/>
        <v>0.98465750000000019</v>
      </c>
    </row>
    <row r="301" spans="1:7" x14ac:dyDescent="0.3">
      <c r="A301" s="33">
        <v>46003.484432870369</v>
      </c>
      <c r="B301" s="34">
        <v>3000</v>
      </c>
      <c r="C301" s="34">
        <v>1.0286999999999999</v>
      </c>
      <c r="D301" s="34">
        <v>354.23919999999998</v>
      </c>
      <c r="E301" s="34">
        <v>364.36389000000003</v>
      </c>
      <c r="F301" s="34">
        <v>0</v>
      </c>
      <c r="G301" s="5">
        <f t="shared" si="4"/>
        <v>0.98420611111111123</v>
      </c>
    </row>
    <row r="302" spans="1:7" x14ac:dyDescent="0.3">
      <c r="A302" s="33">
        <v>46003.484548611108</v>
      </c>
      <c r="B302" s="34">
        <v>3010</v>
      </c>
      <c r="C302" s="34">
        <v>1.26</v>
      </c>
      <c r="D302" s="34">
        <v>0</v>
      </c>
      <c r="E302" s="34">
        <v>0</v>
      </c>
      <c r="F302" s="34">
        <v>1</v>
      </c>
      <c r="G302" s="5">
        <f t="shared" si="4"/>
        <v>0.49199888888888887</v>
      </c>
    </row>
    <row r="303" spans="1:7" x14ac:dyDescent="0.3">
      <c r="A303" s="33">
        <v>46003.484664351854</v>
      </c>
      <c r="B303" s="34">
        <v>3020</v>
      </c>
      <c r="C303" s="34">
        <v>1.2686999999999999</v>
      </c>
      <c r="D303" s="34">
        <v>0</v>
      </c>
      <c r="E303" s="34">
        <v>0</v>
      </c>
      <c r="F303" s="34">
        <v>1</v>
      </c>
      <c r="G303" s="5">
        <f t="shared" si="4"/>
        <v>0</v>
      </c>
    </row>
    <row r="304" spans="1:7" x14ac:dyDescent="0.3">
      <c r="A304" s="33">
        <v>46003.484780092593</v>
      </c>
      <c r="B304" s="34">
        <v>3030</v>
      </c>
      <c r="C304" s="34">
        <v>1.2763</v>
      </c>
      <c r="D304" s="34">
        <v>0</v>
      </c>
      <c r="E304" s="34">
        <v>0</v>
      </c>
      <c r="F304" s="34">
        <v>1</v>
      </c>
      <c r="G304" s="5">
        <f t="shared" si="4"/>
        <v>0</v>
      </c>
    </row>
    <row r="305" spans="1:7" x14ac:dyDescent="0.3">
      <c r="A305" s="33">
        <v>46003.484895833331</v>
      </c>
      <c r="B305" s="34">
        <v>3040</v>
      </c>
      <c r="C305" s="34">
        <v>1.2763</v>
      </c>
      <c r="D305" s="34">
        <v>0</v>
      </c>
      <c r="E305" s="34">
        <v>0</v>
      </c>
      <c r="F305" s="34">
        <v>1</v>
      </c>
      <c r="G305" s="5">
        <f t="shared" si="4"/>
        <v>0</v>
      </c>
    </row>
    <row r="306" spans="1:7" x14ac:dyDescent="0.3">
      <c r="A306" s="33">
        <v>46003.485011574077</v>
      </c>
      <c r="B306" s="34">
        <v>3050</v>
      </c>
      <c r="C306" s="34">
        <v>1.28</v>
      </c>
      <c r="D306" s="34">
        <v>0</v>
      </c>
      <c r="E306" s="34">
        <v>0</v>
      </c>
      <c r="F306" s="34">
        <v>1</v>
      </c>
      <c r="G306" s="5">
        <f t="shared" si="4"/>
        <v>0</v>
      </c>
    </row>
    <row r="307" spans="1:7" x14ac:dyDescent="0.3">
      <c r="A307" s="33">
        <v>46003.485127314816</v>
      </c>
      <c r="B307" s="34">
        <v>3060</v>
      </c>
      <c r="C307" s="34">
        <v>1.2837000000000001</v>
      </c>
      <c r="D307" s="34">
        <v>0</v>
      </c>
      <c r="E307" s="34">
        <v>0</v>
      </c>
      <c r="F307" s="34">
        <v>1</v>
      </c>
      <c r="G307" s="5">
        <f t="shared" si="4"/>
        <v>0</v>
      </c>
    </row>
    <row r="308" spans="1:7" x14ac:dyDescent="0.3">
      <c r="A308" s="33">
        <v>46003.485243055555</v>
      </c>
      <c r="B308" s="34">
        <v>3070</v>
      </c>
      <c r="C308" s="34">
        <v>1.2875000000000001</v>
      </c>
      <c r="D308" s="34">
        <v>0</v>
      </c>
      <c r="E308" s="34">
        <v>0</v>
      </c>
      <c r="F308" s="34">
        <v>1</v>
      </c>
      <c r="G308" s="5">
        <f t="shared" si="4"/>
        <v>0</v>
      </c>
    </row>
    <row r="309" spans="1:7" x14ac:dyDescent="0.3">
      <c r="A309" s="33">
        <v>46003.485358796293</v>
      </c>
      <c r="B309" s="34">
        <v>3080</v>
      </c>
      <c r="C309" s="34">
        <v>1.29</v>
      </c>
      <c r="D309" s="34">
        <v>0</v>
      </c>
      <c r="E309" s="34">
        <v>0</v>
      </c>
      <c r="F309" s="34">
        <v>1</v>
      </c>
      <c r="G309" s="5">
        <f t="shared" si="4"/>
        <v>0</v>
      </c>
    </row>
    <row r="310" spans="1:7" x14ac:dyDescent="0.3">
      <c r="A310" s="33">
        <v>46003.485474537039</v>
      </c>
      <c r="B310" s="34">
        <v>3090</v>
      </c>
      <c r="C310" s="34">
        <v>1.2911999999999999</v>
      </c>
      <c r="D310" s="34">
        <v>0</v>
      </c>
      <c r="E310" s="34">
        <v>0</v>
      </c>
      <c r="F310" s="34">
        <v>1</v>
      </c>
      <c r="G310" s="5">
        <f t="shared" si="4"/>
        <v>0</v>
      </c>
    </row>
    <row r="311" spans="1:7" x14ac:dyDescent="0.3">
      <c r="A311" s="33">
        <v>46003.485590277778</v>
      </c>
      <c r="B311" s="34">
        <v>3100</v>
      </c>
      <c r="C311" s="34">
        <v>1.0537000000000001</v>
      </c>
      <c r="D311" s="34">
        <v>362.91390000000001</v>
      </c>
      <c r="E311" s="34">
        <v>382.48833999999999</v>
      </c>
      <c r="F311" s="34">
        <v>0</v>
      </c>
      <c r="G311" s="5">
        <f t="shared" si="4"/>
        <v>0.50404708333333337</v>
      </c>
    </row>
    <row r="312" spans="1:7" x14ac:dyDescent="0.3">
      <c r="A312" s="33">
        <v>46003.485706018517</v>
      </c>
      <c r="B312" s="34">
        <v>3110</v>
      </c>
      <c r="C312" s="34">
        <v>1.0462</v>
      </c>
      <c r="D312" s="34">
        <v>360.53899999999999</v>
      </c>
      <c r="E312" s="34">
        <v>376.86349000000001</v>
      </c>
      <c r="F312" s="34">
        <v>0</v>
      </c>
      <c r="G312" s="5">
        <f t="shared" si="4"/>
        <v>1.0047956944444445</v>
      </c>
    </row>
    <row r="313" spans="1:7" x14ac:dyDescent="0.3">
      <c r="A313" s="33">
        <v>46003.485821759263</v>
      </c>
      <c r="B313" s="34">
        <v>3120</v>
      </c>
      <c r="C313" s="34">
        <v>1.0411999999999999</v>
      </c>
      <c r="D313" s="34">
        <v>359.06400000000002</v>
      </c>
      <c r="E313" s="34">
        <v>373.73858999999999</v>
      </c>
      <c r="F313" s="34">
        <v>0</v>
      </c>
      <c r="G313" s="5">
        <f t="shared" si="4"/>
        <v>0.99944861111111127</v>
      </c>
    </row>
    <row r="314" spans="1:7" x14ac:dyDescent="0.3">
      <c r="A314" s="33">
        <v>46003.485937500001</v>
      </c>
      <c r="B314" s="34">
        <v>3130</v>
      </c>
      <c r="C314" s="34">
        <v>1.0375000000000001</v>
      </c>
      <c r="D314" s="34">
        <v>358.01409999999998</v>
      </c>
      <c r="E314" s="34">
        <v>371.86365000000001</v>
      </c>
      <c r="F314" s="34">
        <v>0</v>
      </c>
      <c r="G314" s="5">
        <f t="shared" si="4"/>
        <v>0.99594180555555556</v>
      </c>
    </row>
    <row r="315" spans="1:7" x14ac:dyDescent="0.3">
      <c r="A315" s="33">
        <v>46003.48605324074</v>
      </c>
      <c r="B315" s="34">
        <v>3140</v>
      </c>
      <c r="C315" s="34">
        <v>1.0362</v>
      </c>
      <c r="D315" s="34">
        <v>357.16410000000002</v>
      </c>
      <c r="E315" s="34">
        <v>369.98871000000003</v>
      </c>
      <c r="F315" s="34">
        <v>0</v>
      </c>
      <c r="G315" s="5">
        <f t="shared" si="4"/>
        <v>0.99330305555555565</v>
      </c>
    </row>
    <row r="316" spans="1:7" x14ac:dyDescent="0.3">
      <c r="A316" s="33">
        <v>46003.486168981479</v>
      </c>
      <c r="B316" s="34">
        <v>3150</v>
      </c>
      <c r="C316" s="34">
        <v>1.0349999999999999</v>
      </c>
      <c r="D316" s="34">
        <v>356.46409999999997</v>
      </c>
      <c r="E316" s="34">
        <v>368.73874000000001</v>
      </c>
      <c r="F316" s="34">
        <v>0</v>
      </c>
      <c r="G316" s="5">
        <f t="shared" si="4"/>
        <v>0.99115027777777776</v>
      </c>
    </row>
    <row r="317" spans="1:7" x14ac:dyDescent="0.3">
      <c r="A317" s="33">
        <v>46003.486284722225</v>
      </c>
      <c r="B317" s="34">
        <v>3160</v>
      </c>
      <c r="C317" s="34">
        <v>1.0325</v>
      </c>
      <c r="D317" s="34">
        <v>355.88909999999998</v>
      </c>
      <c r="E317" s="34">
        <v>367.48876999999999</v>
      </c>
      <c r="F317" s="34">
        <v>0</v>
      </c>
      <c r="G317" s="5">
        <f t="shared" si="4"/>
        <v>0.98937944444444448</v>
      </c>
    </row>
    <row r="318" spans="1:7" x14ac:dyDescent="0.3">
      <c r="A318" s="33">
        <v>46003.486400462964</v>
      </c>
      <c r="B318" s="34">
        <v>3170</v>
      </c>
      <c r="C318" s="34">
        <v>1.0313000000000001</v>
      </c>
      <c r="D318" s="34">
        <v>355.36410000000001</v>
      </c>
      <c r="E318" s="34">
        <v>366.23883000000001</v>
      </c>
      <c r="F318" s="34">
        <v>0</v>
      </c>
      <c r="G318" s="5">
        <f t="shared" si="4"/>
        <v>0.98785166666666668</v>
      </c>
    </row>
    <row r="319" spans="1:7" x14ac:dyDescent="0.3">
      <c r="A319" s="33">
        <v>46003.486516203702</v>
      </c>
      <c r="B319" s="34">
        <v>3180</v>
      </c>
      <c r="C319" s="34">
        <v>1.0286999999999999</v>
      </c>
      <c r="D319" s="34">
        <v>354.91419999999999</v>
      </c>
      <c r="E319" s="34">
        <v>365.61383000000001</v>
      </c>
      <c r="F319" s="34">
        <v>0</v>
      </c>
      <c r="G319" s="5">
        <f t="shared" si="4"/>
        <v>0.98649763888888886</v>
      </c>
    </row>
    <row r="320" spans="1:7" x14ac:dyDescent="0.3">
      <c r="A320" s="33">
        <v>46003.486631944441</v>
      </c>
      <c r="B320" s="34">
        <v>3190</v>
      </c>
      <c r="C320" s="34">
        <v>1.0286999999999999</v>
      </c>
      <c r="D320" s="34">
        <v>354.51420000000002</v>
      </c>
      <c r="E320" s="34">
        <v>364.36389000000003</v>
      </c>
      <c r="F320" s="34">
        <v>0</v>
      </c>
      <c r="G320" s="5">
        <f t="shared" si="4"/>
        <v>0.98531722222222229</v>
      </c>
    </row>
    <row r="321" spans="1:7" x14ac:dyDescent="0.3">
      <c r="A321" s="33">
        <v>46003.486747685187</v>
      </c>
      <c r="B321" s="34">
        <v>3200</v>
      </c>
      <c r="C321" s="34">
        <v>1.0275000000000001</v>
      </c>
      <c r="D321" s="34">
        <v>354.16419999999999</v>
      </c>
      <c r="E321" s="34">
        <v>363.73889000000003</v>
      </c>
      <c r="F321" s="34">
        <v>0</v>
      </c>
      <c r="G321" s="5">
        <f t="shared" si="4"/>
        <v>0.98427555555555557</v>
      </c>
    </row>
    <row r="322" spans="1:7" x14ac:dyDescent="0.3">
      <c r="A322" s="33">
        <v>46003.486863425926</v>
      </c>
      <c r="B322" s="34">
        <v>3210</v>
      </c>
      <c r="C322" s="34">
        <v>1.0263</v>
      </c>
      <c r="D322" s="34">
        <v>353.81420000000003</v>
      </c>
      <c r="E322" s="34">
        <v>363.73889000000003</v>
      </c>
      <c r="F322" s="34">
        <v>0</v>
      </c>
      <c r="G322" s="5">
        <f t="shared" si="4"/>
        <v>0.98330333333333331</v>
      </c>
    </row>
    <row r="323" spans="1:7" x14ac:dyDescent="0.3">
      <c r="A323" s="33">
        <v>46003.486979166664</v>
      </c>
      <c r="B323" s="34">
        <v>3220</v>
      </c>
      <c r="C323" s="34">
        <v>1.0249999999999999</v>
      </c>
      <c r="D323" s="34">
        <v>353.51420000000002</v>
      </c>
      <c r="E323" s="34">
        <v>362.48894999999999</v>
      </c>
      <c r="F323" s="34">
        <v>0</v>
      </c>
      <c r="G323" s="5">
        <f t="shared" si="4"/>
        <v>0.98240055555555572</v>
      </c>
    </row>
    <row r="324" spans="1:7" x14ac:dyDescent="0.3">
      <c r="A324" s="33">
        <v>46003.48709490741</v>
      </c>
      <c r="B324" s="34">
        <v>3230</v>
      </c>
      <c r="C324" s="34">
        <v>1.0237000000000001</v>
      </c>
      <c r="D324" s="34">
        <v>353.21420000000001</v>
      </c>
      <c r="E324" s="34">
        <v>361.86394999999999</v>
      </c>
      <c r="F324" s="34">
        <v>0</v>
      </c>
      <c r="G324" s="5">
        <f t="shared" si="4"/>
        <v>0.98156722222222226</v>
      </c>
    </row>
    <row r="325" spans="1:7" x14ac:dyDescent="0.3">
      <c r="A325" s="33">
        <v>46003.487210648149</v>
      </c>
      <c r="B325" s="34">
        <v>3240</v>
      </c>
      <c r="C325" s="34">
        <v>1.0237000000000001</v>
      </c>
      <c r="D325" s="34">
        <v>352.93920000000003</v>
      </c>
      <c r="E325" s="34">
        <v>361.23898000000003</v>
      </c>
      <c r="F325" s="34">
        <v>0</v>
      </c>
      <c r="G325" s="5">
        <f t="shared" si="4"/>
        <v>0.98076861111111124</v>
      </c>
    </row>
    <row r="326" spans="1:7" x14ac:dyDescent="0.3">
      <c r="A326" s="33">
        <v>46003.487326388888</v>
      </c>
      <c r="B326" s="34">
        <v>3250</v>
      </c>
      <c r="C326" s="34">
        <v>1.0225</v>
      </c>
      <c r="D326" s="34">
        <v>352.71420000000001</v>
      </c>
      <c r="E326" s="34">
        <v>360.61398000000003</v>
      </c>
      <c r="F326" s="34">
        <v>0</v>
      </c>
      <c r="G326" s="5">
        <f t="shared" si="4"/>
        <v>0.9800741666666668</v>
      </c>
    </row>
    <row r="327" spans="1:7" x14ac:dyDescent="0.3">
      <c r="A327" s="33">
        <v>46003.487442129626</v>
      </c>
      <c r="B327" s="34">
        <v>3260</v>
      </c>
      <c r="C327" s="34">
        <v>1.0225</v>
      </c>
      <c r="D327" s="34">
        <v>352.48919999999998</v>
      </c>
      <c r="E327" s="34">
        <v>360.61398000000003</v>
      </c>
      <c r="F327" s="34">
        <v>0</v>
      </c>
      <c r="G327" s="5">
        <f t="shared" ref="G327:G390" si="5">($B$2/3600)*((D326+D327)/2)</f>
        <v>0.9794491666666667</v>
      </c>
    </row>
    <row r="328" spans="1:7" x14ac:dyDescent="0.3">
      <c r="A328" s="33">
        <v>46003.487557870372</v>
      </c>
      <c r="B328" s="34">
        <v>3270</v>
      </c>
      <c r="C328" s="34">
        <v>1.0213000000000001</v>
      </c>
      <c r="D328" s="34">
        <v>352.26429999999999</v>
      </c>
      <c r="E328" s="34">
        <v>359.36403999999999</v>
      </c>
      <c r="F328" s="34">
        <v>0</v>
      </c>
      <c r="G328" s="5">
        <f t="shared" si="5"/>
        <v>0.97882430555555566</v>
      </c>
    </row>
    <row r="329" spans="1:7" x14ac:dyDescent="0.3">
      <c r="A329" s="33">
        <v>46003.487673611111</v>
      </c>
      <c r="B329" s="34">
        <v>3280</v>
      </c>
      <c r="C329" s="34">
        <v>1.02</v>
      </c>
      <c r="D329" s="34">
        <v>352.06420000000003</v>
      </c>
      <c r="E329" s="34">
        <v>359.36403999999999</v>
      </c>
      <c r="F329" s="34">
        <v>0</v>
      </c>
      <c r="G329" s="5">
        <f t="shared" si="5"/>
        <v>0.9782340277777779</v>
      </c>
    </row>
    <row r="330" spans="1:7" x14ac:dyDescent="0.3">
      <c r="A330" s="33">
        <v>46003.48778935185</v>
      </c>
      <c r="B330" s="34">
        <v>3290</v>
      </c>
      <c r="C330" s="34">
        <v>1.02</v>
      </c>
      <c r="D330" s="34">
        <v>351.86430000000001</v>
      </c>
      <c r="E330" s="34">
        <v>358.11407000000003</v>
      </c>
      <c r="F330" s="34">
        <v>0</v>
      </c>
      <c r="G330" s="5">
        <f t="shared" si="5"/>
        <v>0.97767847222222226</v>
      </c>
    </row>
    <row r="331" spans="1:7" x14ac:dyDescent="0.3">
      <c r="A331" s="33">
        <v>46003.487905092596</v>
      </c>
      <c r="B331" s="34">
        <v>3300</v>
      </c>
      <c r="C331" s="34">
        <v>1.0186999999999999</v>
      </c>
      <c r="D331" s="34">
        <v>351.66419999999999</v>
      </c>
      <c r="E331" s="34">
        <v>358.11407000000003</v>
      </c>
      <c r="F331" s="34">
        <v>0</v>
      </c>
      <c r="G331" s="5">
        <f t="shared" si="5"/>
        <v>0.97712291666666673</v>
      </c>
    </row>
    <row r="332" spans="1:7" x14ac:dyDescent="0.3">
      <c r="A332" s="33">
        <v>46003.488020833334</v>
      </c>
      <c r="B332" s="34">
        <v>3310</v>
      </c>
      <c r="C332" s="34">
        <v>1.0186999999999999</v>
      </c>
      <c r="D332" s="34">
        <v>351.46429999999998</v>
      </c>
      <c r="E332" s="34">
        <v>358.11407000000003</v>
      </c>
      <c r="F332" s="34">
        <v>0</v>
      </c>
      <c r="G332" s="5">
        <f t="shared" si="5"/>
        <v>0.9765673611111112</v>
      </c>
    </row>
    <row r="333" spans="1:7" x14ac:dyDescent="0.3">
      <c r="A333" s="33">
        <v>46003.488136574073</v>
      </c>
      <c r="B333" s="34">
        <v>3320</v>
      </c>
      <c r="C333" s="34">
        <v>1.0175000000000001</v>
      </c>
      <c r="D333" s="34">
        <v>351.28930000000003</v>
      </c>
      <c r="E333" s="34">
        <v>357.48907000000003</v>
      </c>
      <c r="F333" s="34">
        <v>0</v>
      </c>
      <c r="G333" s="5">
        <f t="shared" si="5"/>
        <v>0.97604666666666673</v>
      </c>
    </row>
    <row r="334" spans="1:7" x14ac:dyDescent="0.3">
      <c r="A334" s="33">
        <v>46003.488252314812</v>
      </c>
      <c r="B334" s="34">
        <v>3330</v>
      </c>
      <c r="C334" s="34">
        <v>1.0186999999999999</v>
      </c>
      <c r="D334" s="34">
        <v>351.11430000000001</v>
      </c>
      <c r="E334" s="34">
        <v>357.48907000000003</v>
      </c>
      <c r="F334" s="34">
        <v>0</v>
      </c>
      <c r="G334" s="5">
        <f t="shared" si="5"/>
        <v>0.97556055555555576</v>
      </c>
    </row>
    <row r="335" spans="1:7" x14ac:dyDescent="0.3">
      <c r="A335" s="33">
        <v>46003.488368055558</v>
      </c>
      <c r="B335" s="34">
        <v>3340</v>
      </c>
      <c r="C335" s="34">
        <v>1.0186999999999999</v>
      </c>
      <c r="D335" s="34">
        <v>350.9393</v>
      </c>
      <c r="E335" s="34">
        <v>357.48907000000003</v>
      </c>
      <c r="F335" s="34">
        <v>0</v>
      </c>
      <c r="G335" s="5">
        <f t="shared" si="5"/>
        <v>0.97507444444444447</v>
      </c>
    </row>
    <row r="336" spans="1:7" x14ac:dyDescent="0.3">
      <c r="A336" s="33">
        <v>46003.488483796296</v>
      </c>
      <c r="B336" s="34">
        <v>3350</v>
      </c>
      <c r="C336" s="34">
        <v>1.0175000000000001</v>
      </c>
      <c r="D336" s="34">
        <v>350.76429999999999</v>
      </c>
      <c r="E336" s="34">
        <v>356.23914000000002</v>
      </c>
      <c r="F336" s="34">
        <v>0</v>
      </c>
      <c r="G336" s="5">
        <f t="shared" si="5"/>
        <v>0.97458833333333339</v>
      </c>
    </row>
    <row r="337" spans="1:7" x14ac:dyDescent="0.3">
      <c r="A337" s="33">
        <v>46003.488599537035</v>
      </c>
      <c r="B337" s="34">
        <v>3360</v>
      </c>
      <c r="C337" s="34">
        <v>1.0175000000000001</v>
      </c>
      <c r="D337" s="34">
        <v>350.58929999999998</v>
      </c>
      <c r="E337" s="34">
        <v>356.23914000000002</v>
      </c>
      <c r="F337" s="34">
        <v>0</v>
      </c>
      <c r="G337" s="5">
        <f t="shared" si="5"/>
        <v>0.97410222222222209</v>
      </c>
    </row>
    <row r="338" spans="1:7" x14ac:dyDescent="0.3">
      <c r="A338" s="33">
        <v>46003.488715277781</v>
      </c>
      <c r="B338" s="34">
        <v>3370</v>
      </c>
      <c r="C338" s="34">
        <v>1.0163</v>
      </c>
      <c r="D338" s="34">
        <v>350.41430000000003</v>
      </c>
      <c r="E338" s="34">
        <v>356.23914000000002</v>
      </c>
      <c r="F338" s="34">
        <v>0</v>
      </c>
      <c r="G338" s="5">
        <f t="shared" si="5"/>
        <v>0.97361611111111113</v>
      </c>
    </row>
    <row r="339" spans="1:7" x14ac:dyDescent="0.3">
      <c r="A339" s="33">
        <v>46003.48883101852</v>
      </c>
      <c r="B339" s="34">
        <v>3380</v>
      </c>
      <c r="C339" s="34">
        <v>1.0163</v>
      </c>
      <c r="D339" s="34">
        <v>350.23930000000001</v>
      </c>
      <c r="E339" s="34">
        <v>356.23914000000002</v>
      </c>
      <c r="F339" s="34">
        <v>0</v>
      </c>
      <c r="G339" s="5">
        <f t="shared" si="5"/>
        <v>0.97313000000000016</v>
      </c>
    </row>
    <row r="340" spans="1:7" x14ac:dyDescent="0.3">
      <c r="A340" s="33">
        <v>46003.488946759258</v>
      </c>
      <c r="B340" s="34">
        <v>3390</v>
      </c>
      <c r="C340" s="34">
        <v>1.0149999999999999</v>
      </c>
      <c r="D340" s="34">
        <v>350.0643</v>
      </c>
      <c r="E340" s="34">
        <v>355.61414000000002</v>
      </c>
      <c r="F340" s="34">
        <v>0</v>
      </c>
      <c r="G340" s="5">
        <f t="shared" si="5"/>
        <v>0.97264388888888886</v>
      </c>
    </row>
    <row r="341" spans="1:7" x14ac:dyDescent="0.3">
      <c r="A341" s="33">
        <v>46003.489062499997</v>
      </c>
      <c r="B341" s="34">
        <v>3400</v>
      </c>
      <c r="C341" s="34">
        <v>1.2486999999999999</v>
      </c>
      <c r="D341" s="34">
        <v>0</v>
      </c>
      <c r="E341" s="34">
        <v>0</v>
      </c>
      <c r="F341" s="34">
        <v>1</v>
      </c>
      <c r="G341" s="5">
        <f t="shared" si="5"/>
        <v>0.48620041666666669</v>
      </c>
    </row>
    <row r="342" spans="1:7" x14ac:dyDescent="0.3">
      <c r="A342" s="33">
        <v>46003.489178240743</v>
      </c>
      <c r="B342" s="34">
        <v>3410</v>
      </c>
      <c r="C342" s="34">
        <v>1.26</v>
      </c>
      <c r="D342" s="34">
        <v>0</v>
      </c>
      <c r="E342" s="34">
        <v>0</v>
      </c>
      <c r="F342" s="34">
        <v>1</v>
      </c>
      <c r="G342" s="5">
        <f t="shared" si="5"/>
        <v>0</v>
      </c>
    </row>
    <row r="343" spans="1:7" x14ac:dyDescent="0.3">
      <c r="A343" s="33">
        <v>46003.489293981482</v>
      </c>
      <c r="B343" s="34">
        <v>3420</v>
      </c>
      <c r="C343" s="34">
        <v>1.2649999999999999</v>
      </c>
      <c r="D343" s="34">
        <v>0</v>
      </c>
      <c r="E343" s="34">
        <v>0</v>
      </c>
      <c r="F343" s="34">
        <v>1</v>
      </c>
      <c r="G343" s="5">
        <f t="shared" si="5"/>
        <v>0</v>
      </c>
    </row>
    <row r="344" spans="1:7" x14ac:dyDescent="0.3">
      <c r="A344" s="33">
        <v>46003.48940972222</v>
      </c>
      <c r="B344" s="34">
        <v>3430</v>
      </c>
      <c r="C344" s="34">
        <v>1.27</v>
      </c>
      <c r="D344" s="34">
        <v>0</v>
      </c>
      <c r="E344" s="34">
        <v>0</v>
      </c>
      <c r="F344" s="34">
        <v>1</v>
      </c>
      <c r="G344" s="5">
        <f t="shared" si="5"/>
        <v>0</v>
      </c>
    </row>
    <row r="345" spans="1:7" x14ac:dyDescent="0.3">
      <c r="A345" s="33">
        <v>46003.489525462966</v>
      </c>
      <c r="B345" s="34">
        <v>3440</v>
      </c>
      <c r="C345" s="34">
        <v>1.2725</v>
      </c>
      <c r="D345" s="34">
        <v>0</v>
      </c>
      <c r="E345" s="34">
        <v>0</v>
      </c>
      <c r="F345" s="34">
        <v>1</v>
      </c>
      <c r="G345" s="5">
        <f t="shared" si="5"/>
        <v>0</v>
      </c>
    </row>
    <row r="346" spans="1:7" x14ac:dyDescent="0.3">
      <c r="A346" s="33">
        <v>46003.489641203705</v>
      </c>
      <c r="B346" s="34">
        <v>3450</v>
      </c>
      <c r="C346" s="34">
        <v>1.2763</v>
      </c>
      <c r="D346" s="34">
        <v>0</v>
      </c>
      <c r="E346" s="34">
        <v>0</v>
      </c>
      <c r="F346" s="34">
        <v>1</v>
      </c>
      <c r="G346" s="5">
        <f t="shared" si="5"/>
        <v>0</v>
      </c>
    </row>
    <row r="347" spans="1:7" x14ac:dyDescent="0.3">
      <c r="A347" s="33">
        <v>46003.489756944444</v>
      </c>
      <c r="B347" s="34">
        <v>3460</v>
      </c>
      <c r="C347" s="34">
        <v>1.2786999999999999</v>
      </c>
      <c r="D347" s="34">
        <v>0</v>
      </c>
      <c r="E347" s="34">
        <v>0</v>
      </c>
      <c r="F347" s="34">
        <v>1</v>
      </c>
      <c r="G347" s="5">
        <f t="shared" si="5"/>
        <v>0</v>
      </c>
    </row>
    <row r="348" spans="1:7" x14ac:dyDescent="0.3">
      <c r="A348" s="33">
        <v>46003.489872685182</v>
      </c>
      <c r="B348" s="34">
        <v>3470</v>
      </c>
      <c r="C348" s="34">
        <v>1.2786999999999999</v>
      </c>
      <c r="D348" s="34">
        <v>0</v>
      </c>
      <c r="E348" s="34">
        <v>0</v>
      </c>
      <c r="F348" s="34">
        <v>1</v>
      </c>
      <c r="G348" s="5">
        <f t="shared" si="5"/>
        <v>0</v>
      </c>
    </row>
    <row r="349" spans="1:7" x14ac:dyDescent="0.3">
      <c r="A349" s="33">
        <v>46003.489988425928</v>
      </c>
      <c r="B349" s="34">
        <v>3480</v>
      </c>
      <c r="C349" s="34">
        <v>1.28</v>
      </c>
      <c r="D349" s="34">
        <v>0</v>
      </c>
      <c r="E349" s="34">
        <v>0</v>
      </c>
      <c r="F349" s="34">
        <v>1</v>
      </c>
      <c r="G349" s="5">
        <f t="shared" si="5"/>
        <v>0</v>
      </c>
    </row>
    <row r="350" spans="1:7" x14ac:dyDescent="0.3">
      <c r="A350" s="33">
        <v>46003.490104166667</v>
      </c>
      <c r="B350" s="34">
        <v>3490</v>
      </c>
      <c r="C350" s="34">
        <v>1.04</v>
      </c>
      <c r="D350" s="34">
        <v>358.71409999999997</v>
      </c>
      <c r="E350" s="34">
        <v>373.11362000000003</v>
      </c>
      <c r="F350" s="34">
        <v>0</v>
      </c>
      <c r="G350" s="5">
        <f t="shared" si="5"/>
        <v>0.49821402777777773</v>
      </c>
    </row>
    <row r="351" spans="1:7" x14ac:dyDescent="0.3">
      <c r="A351" s="33">
        <v>46003.490219907406</v>
      </c>
      <c r="B351" s="34">
        <v>3500</v>
      </c>
      <c r="C351" s="34">
        <v>1.0337000000000001</v>
      </c>
      <c r="D351" s="34">
        <v>356.3141</v>
      </c>
      <c r="E351" s="34">
        <v>368.73874000000001</v>
      </c>
      <c r="F351" s="34">
        <v>0</v>
      </c>
      <c r="G351" s="5">
        <f t="shared" si="5"/>
        <v>0.99309472222222217</v>
      </c>
    </row>
    <row r="352" spans="1:7" x14ac:dyDescent="0.3">
      <c r="A352" s="33">
        <v>46003.490335648145</v>
      </c>
      <c r="B352" s="34">
        <v>3510</v>
      </c>
      <c r="C352" s="34">
        <v>1.03</v>
      </c>
      <c r="D352" s="34">
        <v>354.88920000000002</v>
      </c>
      <c r="E352" s="34">
        <v>364.98885999999999</v>
      </c>
      <c r="F352" s="34">
        <v>0</v>
      </c>
      <c r="G352" s="5">
        <f t="shared" si="5"/>
        <v>0.98778236111111117</v>
      </c>
    </row>
    <row r="353" spans="1:7" x14ac:dyDescent="0.3">
      <c r="A353" s="33">
        <v>46003.490451388891</v>
      </c>
      <c r="B353" s="34">
        <v>3520</v>
      </c>
      <c r="C353" s="34">
        <v>1.0263</v>
      </c>
      <c r="D353" s="34">
        <v>353.81420000000003</v>
      </c>
      <c r="E353" s="34">
        <v>363.73889000000003</v>
      </c>
      <c r="F353" s="34">
        <v>0</v>
      </c>
      <c r="G353" s="5">
        <f t="shared" si="5"/>
        <v>0.98431027777777791</v>
      </c>
    </row>
    <row r="354" spans="1:7" x14ac:dyDescent="0.3">
      <c r="A354" s="33">
        <v>46003.490567129629</v>
      </c>
      <c r="B354" s="34">
        <v>3530</v>
      </c>
      <c r="C354" s="34">
        <v>1.0237000000000001</v>
      </c>
      <c r="D354" s="34">
        <v>352.98919999999998</v>
      </c>
      <c r="E354" s="34">
        <v>361.23898000000003</v>
      </c>
      <c r="F354" s="34">
        <v>0</v>
      </c>
      <c r="G354" s="5">
        <f t="shared" si="5"/>
        <v>0.98167138888888894</v>
      </c>
    </row>
    <row r="355" spans="1:7" x14ac:dyDescent="0.3">
      <c r="A355" s="33">
        <v>46003.490682870368</v>
      </c>
      <c r="B355" s="34">
        <v>3540</v>
      </c>
      <c r="C355" s="34">
        <v>1.0213000000000001</v>
      </c>
      <c r="D355" s="34">
        <v>352.28919999999999</v>
      </c>
      <c r="E355" s="34">
        <v>359.36403999999999</v>
      </c>
      <c r="F355" s="34">
        <v>0</v>
      </c>
      <c r="G355" s="5">
        <f t="shared" si="5"/>
        <v>0.97955333333333328</v>
      </c>
    </row>
    <row r="356" spans="1:7" x14ac:dyDescent="0.3">
      <c r="A356" s="33">
        <v>46003.490798611114</v>
      </c>
      <c r="B356" s="34">
        <v>3550</v>
      </c>
      <c r="C356" s="34">
        <v>1.0186999999999999</v>
      </c>
      <c r="D356" s="34">
        <v>351.71429999999998</v>
      </c>
      <c r="E356" s="34">
        <v>358.11407000000003</v>
      </c>
      <c r="F356" s="34">
        <v>0</v>
      </c>
      <c r="G356" s="5">
        <f t="shared" si="5"/>
        <v>0.97778263888888894</v>
      </c>
    </row>
    <row r="357" spans="1:7" x14ac:dyDescent="0.3">
      <c r="A357" s="33">
        <v>46003.490914351853</v>
      </c>
      <c r="B357" s="34">
        <v>3560</v>
      </c>
      <c r="C357" s="34">
        <v>1.0186999999999999</v>
      </c>
      <c r="D357" s="34">
        <v>351.1893</v>
      </c>
      <c r="E357" s="34">
        <v>357.48907000000003</v>
      </c>
      <c r="F357" s="34">
        <v>0</v>
      </c>
      <c r="G357" s="5">
        <f t="shared" si="5"/>
        <v>0.97625499999999998</v>
      </c>
    </row>
    <row r="358" spans="1:7" x14ac:dyDescent="0.3">
      <c r="A358" s="33">
        <v>46003.491030092591</v>
      </c>
      <c r="B358" s="34">
        <v>3570</v>
      </c>
      <c r="C358" s="34">
        <v>1.0175000000000001</v>
      </c>
      <c r="D358" s="34">
        <v>350.76429999999999</v>
      </c>
      <c r="E358" s="34">
        <v>356.23914000000002</v>
      </c>
      <c r="F358" s="34">
        <v>0</v>
      </c>
      <c r="G358" s="5">
        <f t="shared" si="5"/>
        <v>0.97493555555555567</v>
      </c>
    </row>
    <row r="359" spans="1:7" x14ac:dyDescent="0.3">
      <c r="A359" s="33">
        <v>46003.49114583333</v>
      </c>
      <c r="B359" s="34">
        <v>3580</v>
      </c>
      <c r="C359" s="34">
        <v>1.0163</v>
      </c>
      <c r="D359" s="34">
        <v>350.36430000000001</v>
      </c>
      <c r="E359" s="34">
        <v>356.23914000000002</v>
      </c>
      <c r="F359" s="34">
        <v>0</v>
      </c>
      <c r="G359" s="5">
        <f t="shared" si="5"/>
        <v>0.97378972222222226</v>
      </c>
    </row>
    <row r="360" spans="1:7" x14ac:dyDescent="0.3">
      <c r="A360" s="33">
        <v>46003.491261574076</v>
      </c>
      <c r="B360" s="34">
        <v>3590</v>
      </c>
      <c r="C360" s="34">
        <v>1.0149999999999999</v>
      </c>
      <c r="D360" s="34">
        <v>349.98930000000001</v>
      </c>
      <c r="E360" s="34">
        <v>355.61414000000002</v>
      </c>
      <c r="F360" s="34">
        <v>0</v>
      </c>
      <c r="G360" s="5">
        <f t="shared" si="5"/>
        <v>0.97271333333333343</v>
      </c>
    </row>
    <row r="361" spans="1:7" x14ac:dyDescent="0.3">
      <c r="A361" s="33">
        <v>46003.491377314815</v>
      </c>
      <c r="B361" s="34">
        <v>3600</v>
      </c>
      <c r="C361" s="34">
        <v>1.0137</v>
      </c>
      <c r="D361" s="34">
        <v>349.6893</v>
      </c>
      <c r="E361" s="34">
        <v>354.98917</v>
      </c>
      <c r="F361" s="34">
        <v>0</v>
      </c>
      <c r="G361" s="5">
        <f t="shared" si="5"/>
        <v>0.97177583333333328</v>
      </c>
    </row>
    <row r="362" spans="1:7" x14ac:dyDescent="0.3">
      <c r="A362" s="33">
        <v>46003.491493055553</v>
      </c>
      <c r="B362" s="34">
        <v>3610</v>
      </c>
      <c r="C362" s="34">
        <v>1.0125</v>
      </c>
      <c r="D362" s="34">
        <v>349.36430000000001</v>
      </c>
      <c r="E362" s="34">
        <v>353.11423000000002</v>
      </c>
      <c r="F362" s="34">
        <v>0</v>
      </c>
      <c r="G362" s="5">
        <f t="shared" si="5"/>
        <v>0.97090777777777781</v>
      </c>
    </row>
    <row r="363" spans="1:7" x14ac:dyDescent="0.3">
      <c r="A363" s="33">
        <v>46003.491608796299</v>
      </c>
      <c r="B363" s="34">
        <v>3620</v>
      </c>
      <c r="C363" s="34">
        <v>1.0125</v>
      </c>
      <c r="D363" s="34">
        <v>349.08929999999998</v>
      </c>
      <c r="E363" s="34">
        <v>353.11423000000002</v>
      </c>
      <c r="F363" s="34">
        <v>0</v>
      </c>
      <c r="G363" s="5">
        <f t="shared" si="5"/>
        <v>0.97007444444444457</v>
      </c>
    </row>
    <row r="364" spans="1:7" x14ac:dyDescent="0.3">
      <c r="A364" s="33">
        <v>46003.491724537038</v>
      </c>
      <c r="B364" s="34">
        <v>3630</v>
      </c>
      <c r="C364" s="34">
        <v>1.0113000000000001</v>
      </c>
      <c r="D364" s="34">
        <v>348.8143</v>
      </c>
      <c r="E364" s="34">
        <v>352.48926</v>
      </c>
      <c r="F364" s="34">
        <v>0</v>
      </c>
      <c r="G364" s="5">
        <f t="shared" si="5"/>
        <v>0.96931055555555556</v>
      </c>
    </row>
    <row r="365" spans="1:7" x14ac:dyDescent="0.3">
      <c r="A365" s="33">
        <v>46003.491840277777</v>
      </c>
      <c r="B365" s="34">
        <v>3640</v>
      </c>
      <c r="C365" s="34">
        <v>1.01</v>
      </c>
      <c r="D365" s="34">
        <v>348.56439999999998</v>
      </c>
      <c r="E365" s="34">
        <v>352.48926</v>
      </c>
      <c r="F365" s="34">
        <v>0</v>
      </c>
      <c r="G365" s="5">
        <f t="shared" si="5"/>
        <v>0.96858152777777784</v>
      </c>
    </row>
    <row r="366" spans="1:7" x14ac:dyDescent="0.3">
      <c r="A366" s="33">
        <v>46003.491956018515</v>
      </c>
      <c r="B366" s="34">
        <v>3650</v>
      </c>
      <c r="C366" s="34">
        <v>1.01</v>
      </c>
      <c r="D366" s="34">
        <v>348.36430000000001</v>
      </c>
      <c r="E366" s="34">
        <v>352.48926</v>
      </c>
      <c r="F366" s="34">
        <v>0</v>
      </c>
      <c r="G366" s="5">
        <f t="shared" si="5"/>
        <v>0.96795652777777774</v>
      </c>
    </row>
    <row r="367" spans="1:7" x14ac:dyDescent="0.3">
      <c r="A367" s="33">
        <v>46003.492071759261</v>
      </c>
      <c r="B367" s="34">
        <v>3660</v>
      </c>
      <c r="C367" s="34">
        <v>1.01</v>
      </c>
      <c r="D367" s="34">
        <v>348.13940000000002</v>
      </c>
      <c r="E367" s="34">
        <v>351.23928999999998</v>
      </c>
      <c r="F367" s="34">
        <v>0</v>
      </c>
      <c r="G367" s="5">
        <f t="shared" si="5"/>
        <v>0.96736624999999998</v>
      </c>
    </row>
    <row r="368" spans="1:7" x14ac:dyDescent="0.3">
      <c r="A368" s="33">
        <v>46003.4921875</v>
      </c>
      <c r="B368" s="34">
        <v>3670</v>
      </c>
      <c r="C368" s="34">
        <v>1.0086999999999999</v>
      </c>
      <c r="D368" s="34">
        <v>347.9144</v>
      </c>
      <c r="E368" s="34">
        <v>351.23928999999998</v>
      </c>
      <c r="F368" s="34">
        <v>0</v>
      </c>
      <c r="G368" s="5">
        <f t="shared" si="5"/>
        <v>0.96674138888888894</v>
      </c>
    </row>
    <row r="369" spans="1:7" x14ac:dyDescent="0.3">
      <c r="A369" s="33">
        <v>46003.492303240739</v>
      </c>
      <c r="B369" s="34">
        <v>3680</v>
      </c>
      <c r="C369" s="34">
        <v>1.0075000000000001</v>
      </c>
      <c r="D369" s="34">
        <v>347.71440000000001</v>
      </c>
      <c r="E369" s="34">
        <v>349.98932000000002</v>
      </c>
      <c r="F369" s="34">
        <v>0</v>
      </c>
      <c r="G369" s="5">
        <f t="shared" si="5"/>
        <v>0.96615111111111107</v>
      </c>
    </row>
    <row r="370" spans="1:7" x14ac:dyDescent="0.3">
      <c r="A370" s="33">
        <v>46003.492418981485</v>
      </c>
      <c r="B370" s="34">
        <v>3690</v>
      </c>
      <c r="C370" s="34">
        <v>1.0075000000000001</v>
      </c>
      <c r="D370" s="34">
        <v>347.51440000000002</v>
      </c>
      <c r="E370" s="34">
        <v>349.98932000000002</v>
      </c>
      <c r="F370" s="34">
        <v>0</v>
      </c>
      <c r="G370" s="5">
        <f t="shared" si="5"/>
        <v>0.96559555555555576</v>
      </c>
    </row>
    <row r="371" spans="1:7" x14ac:dyDescent="0.3">
      <c r="A371" s="33">
        <v>46003.492534722223</v>
      </c>
      <c r="B371" s="34">
        <v>3700</v>
      </c>
      <c r="C371" s="34">
        <v>1.0063</v>
      </c>
      <c r="D371" s="34">
        <v>347.33940000000001</v>
      </c>
      <c r="E371" s="34">
        <v>349.36435</v>
      </c>
      <c r="F371" s="34">
        <v>0</v>
      </c>
      <c r="G371" s="5">
        <f t="shared" si="5"/>
        <v>0.96507472222222235</v>
      </c>
    </row>
    <row r="372" spans="1:7" x14ac:dyDescent="0.3">
      <c r="A372" s="33">
        <v>46003.492650462962</v>
      </c>
      <c r="B372" s="34">
        <v>3710</v>
      </c>
      <c r="C372" s="34">
        <v>1.0063</v>
      </c>
      <c r="D372" s="34">
        <v>347.13940000000002</v>
      </c>
      <c r="E372" s="34">
        <v>349.36435</v>
      </c>
      <c r="F372" s="34">
        <v>0</v>
      </c>
      <c r="G372" s="5">
        <f t="shared" si="5"/>
        <v>0.96455388888888904</v>
      </c>
    </row>
    <row r="373" spans="1:7" x14ac:dyDescent="0.3">
      <c r="A373" s="33">
        <v>46003.492766203701</v>
      </c>
      <c r="B373" s="34">
        <v>3720</v>
      </c>
      <c r="C373" s="34">
        <v>1.0049999999999999</v>
      </c>
      <c r="D373" s="34">
        <v>346.96440000000001</v>
      </c>
      <c r="E373" s="34">
        <v>348.73935</v>
      </c>
      <c r="F373" s="34">
        <v>0</v>
      </c>
      <c r="G373" s="5">
        <f t="shared" si="5"/>
        <v>0.96403305555555574</v>
      </c>
    </row>
    <row r="374" spans="1:7" x14ac:dyDescent="0.3">
      <c r="A374" s="33">
        <v>46003.492881944447</v>
      </c>
      <c r="B374" s="34">
        <v>3730</v>
      </c>
      <c r="C374" s="34">
        <v>1.0049999999999999</v>
      </c>
      <c r="D374" s="34">
        <v>346.7894</v>
      </c>
      <c r="E374" s="34">
        <v>348.11437999999998</v>
      </c>
      <c r="F374" s="34">
        <v>0</v>
      </c>
      <c r="G374" s="5">
        <f t="shared" si="5"/>
        <v>0.96354694444444444</v>
      </c>
    </row>
    <row r="375" spans="1:7" x14ac:dyDescent="0.3">
      <c r="A375" s="33">
        <v>46003.492997685185</v>
      </c>
      <c r="B375" s="34">
        <v>3740</v>
      </c>
      <c r="C375" s="34">
        <v>1.0049999999999999</v>
      </c>
      <c r="D375" s="34">
        <v>346.61439999999999</v>
      </c>
      <c r="E375" s="34">
        <v>348.11437999999998</v>
      </c>
      <c r="F375" s="34">
        <v>0</v>
      </c>
      <c r="G375" s="5">
        <f t="shared" si="5"/>
        <v>0.96306083333333348</v>
      </c>
    </row>
    <row r="376" spans="1:7" x14ac:dyDescent="0.3">
      <c r="A376" s="33">
        <v>46003.493113425924</v>
      </c>
      <c r="B376" s="34">
        <v>3750</v>
      </c>
      <c r="C376" s="34">
        <v>1.0037</v>
      </c>
      <c r="D376" s="34">
        <v>346.43939999999998</v>
      </c>
      <c r="E376" s="34">
        <v>348.11437999999998</v>
      </c>
      <c r="F376" s="34">
        <v>0</v>
      </c>
      <c r="G376" s="5">
        <f t="shared" si="5"/>
        <v>0.96257472222222218</v>
      </c>
    </row>
    <row r="377" spans="1:7" x14ac:dyDescent="0.3">
      <c r="A377" s="33">
        <v>46003.49322916667</v>
      </c>
      <c r="B377" s="34">
        <v>3760</v>
      </c>
      <c r="C377" s="34">
        <v>1.0037</v>
      </c>
      <c r="D377" s="34">
        <v>346.26440000000002</v>
      </c>
      <c r="E377" s="34">
        <v>346.86441000000002</v>
      </c>
      <c r="F377" s="34">
        <v>0</v>
      </c>
      <c r="G377" s="5">
        <f t="shared" si="5"/>
        <v>0.9620886111111111</v>
      </c>
    </row>
    <row r="378" spans="1:7" x14ac:dyDescent="0.3">
      <c r="A378" s="33">
        <v>46003.493344907409</v>
      </c>
      <c r="B378" s="34">
        <v>3770</v>
      </c>
      <c r="C378" s="34">
        <v>1.0024999999999999</v>
      </c>
      <c r="D378" s="34">
        <v>346.11439999999999</v>
      </c>
      <c r="E378" s="34">
        <v>346.86441000000002</v>
      </c>
      <c r="F378" s="34">
        <v>0</v>
      </c>
      <c r="G378" s="5">
        <f t="shared" si="5"/>
        <v>0.96163722222222214</v>
      </c>
    </row>
    <row r="379" spans="1:7" x14ac:dyDescent="0.3">
      <c r="A379" s="33">
        <v>46003.493460648147</v>
      </c>
      <c r="B379" s="34">
        <v>3780</v>
      </c>
      <c r="C379" s="34">
        <v>1.0024999999999999</v>
      </c>
      <c r="D379" s="34">
        <v>345.93939999999998</v>
      </c>
      <c r="E379" s="34">
        <v>346.86441000000002</v>
      </c>
      <c r="F379" s="34">
        <v>0</v>
      </c>
      <c r="G379" s="5">
        <f t="shared" si="5"/>
        <v>0.96118583333333329</v>
      </c>
    </row>
    <row r="380" spans="1:7" x14ac:dyDescent="0.3">
      <c r="A380" s="33">
        <v>46003.493576388886</v>
      </c>
      <c r="B380" s="34">
        <v>3790</v>
      </c>
      <c r="C380" s="34">
        <v>1.24</v>
      </c>
      <c r="D380" s="34">
        <v>0</v>
      </c>
      <c r="E380" s="34">
        <v>0</v>
      </c>
      <c r="F380" s="34">
        <v>1</v>
      </c>
      <c r="G380" s="5">
        <f t="shared" si="5"/>
        <v>0.48047138888888885</v>
      </c>
    </row>
    <row r="381" spans="1:7" x14ac:dyDescent="0.3">
      <c r="A381" s="33">
        <v>46003.493692129632</v>
      </c>
      <c r="B381" s="34">
        <v>3800</v>
      </c>
      <c r="C381" s="34">
        <v>1.2486999999999999</v>
      </c>
      <c r="D381" s="34">
        <v>0</v>
      </c>
      <c r="E381" s="34">
        <v>0</v>
      </c>
      <c r="F381" s="34">
        <v>1</v>
      </c>
      <c r="G381" s="5">
        <f t="shared" si="5"/>
        <v>0</v>
      </c>
    </row>
    <row r="382" spans="1:7" x14ac:dyDescent="0.3">
      <c r="A382" s="33">
        <v>46003.493807870371</v>
      </c>
      <c r="B382" s="34">
        <v>3810</v>
      </c>
      <c r="C382" s="34">
        <v>1.2549999999999999</v>
      </c>
      <c r="D382" s="34">
        <v>0</v>
      </c>
      <c r="E382" s="34">
        <v>0</v>
      </c>
      <c r="F382" s="34">
        <v>1</v>
      </c>
      <c r="G382" s="5">
        <f t="shared" si="5"/>
        <v>0</v>
      </c>
    </row>
    <row r="383" spans="1:7" x14ac:dyDescent="0.3">
      <c r="A383" s="33">
        <v>46003.493923611109</v>
      </c>
      <c r="B383" s="34">
        <v>3820</v>
      </c>
      <c r="C383" s="34">
        <v>1.2575000000000001</v>
      </c>
      <c r="D383" s="34">
        <v>0</v>
      </c>
      <c r="E383" s="34">
        <v>0</v>
      </c>
      <c r="F383" s="34">
        <v>1</v>
      </c>
      <c r="G383" s="5">
        <f t="shared" si="5"/>
        <v>0</v>
      </c>
    </row>
    <row r="384" spans="1:7" x14ac:dyDescent="0.3">
      <c r="A384" s="33">
        <v>46003.494039351855</v>
      </c>
      <c r="B384" s="34">
        <v>3830</v>
      </c>
      <c r="C384" s="34">
        <v>1.2625</v>
      </c>
      <c r="D384" s="34">
        <v>0</v>
      </c>
      <c r="E384" s="34">
        <v>0</v>
      </c>
      <c r="F384" s="34">
        <v>1</v>
      </c>
      <c r="G384" s="5">
        <f t="shared" si="5"/>
        <v>0</v>
      </c>
    </row>
    <row r="385" spans="1:7" x14ac:dyDescent="0.3">
      <c r="A385" s="33">
        <v>46003.494155092594</v>
      </c>
      <c r="B385" s="34">
        <v>3840</v>
      </c>
      <c r="C385" s="34">
        <v>1.2663</v>
      </c>
      <c r="D385" s="34">
        <v>0</v>
      </c>
      <c r="E385" s="34">
        <v>0</v>
      </c>
      <c r="F385" s="34">
        <v>1</v>
      </c>
      <c r="G385" s="5">
        <f t="shared" si="5"/>
        <v>0</v>
      </c>
    </row>
    <row r="386" spans="1:7" x14ac:dyDescent="0.3">
      <c r="A386" s="33">
        <v>46003.494270833333</v>
      </c>
      <c r="B386" s="34">
        <v>3850</v>
      </c>
      <c r="C386" s="34">
        <v>1.2686999999999999</v>
      </c>
      <c r="D386" s="34">
        <v>0</v>
      </c>
      <c r="E386" s="34">
        <v>0</v>
      </c>
      <c r="F386" s="34">
        <v>1</v>
      </c>
      <c r="G386" s="5">
        <f t="shared" si="5"/>
        <v>0</v>
      </c>
    </row>
    <row r="387" spans="1:7" x14ac:dyDescent="0.3">
      <c r="A387" s="33">
        <v>46003.494386574072</v>
      </c>
      <c r="B387" s="34">
        <v>3860</v>
      </c>
      <c r="C387" s="34">
        <v>1.27</v>
      </c>
      <c r="D387" s="34">
        <v>0</v>
      </c>
      <c r="E387" s="34">
        <v>0</v>
      </c>
      <c r="F387" s="34">
        <v>1</v>
      </c>
      <c r="G387" s="5">
        <f t="shared" si="5"/>
        <v>0</v>
      </c>
    </row>
    <row r="388" spans="1:7" x14ac:dyDescent="0.3">
      <c r="A388" s="33">
        <v>46003.494502314818</v>
      </c>
      <c r="B388" s="34">
        <v>3870</v>
      </c>
      <c r="C388" s="34">
        <v>1.2737000000000001</v>
      </c>
      <c r="D388" s="34">
        <v>0</v>
      </c>
      <c r="E388" s="34">
        <v>0</v>
      </c>
      <c r="F388" s="34">
        <v>1</v>
      </c>
      <c r="G388" s="5">
        <f t="shared" si="5"/>
        <v>0</v>
      </c>
    </row>
    <row r="389" spans="1:7" x14ac:dyDescent="0.3">
      <c r="A389" s="33">
        <v>46003.494618055556</v>
      </c>
      <c r="B389" s="34">
        <v>3880</v>
      </c>
      <c r="C389" s="34">
        <v>1.03</v>
      </c>
      <c r="D389" s="34">
        <v>354.51420000000002</v>
      </c>
      <c r="E389" s="34">
        <v>364.98885999999999</v>
      </c>
      <c r="F389" s="34">
        <v>0</v>
      </c>
      <c r="G389" s="5">
        <f t="shared" si="5"/>
        <v>0.49238083333333338</v>
      </c>
    </row>
    <row r="390" spans="1:7" x14ac:dyDescent="0.3">
      <c r="A390" s="33">
        <v>46003.494745370372</v>
      </c>
      <c r="B390" s="34">
        <v>3890</v>
      </c>
      <c r="C390" s="34">
        <v>1.0213000000000001</v>
      </c>
      <c r="D390" s="34">
        <v>352.18920000000003</v>
      </c>
      <c r="E390" s="34">
        <v>359.36403999999999</v>
      </c>
      <c r="F390" s="34">
        <v>0</v>
      </c>
      <c r="G390" s="5">
        <f t="shared" si="5"/>
        <v>0.98153250000000014</v>
      </c>
    </row>
    <row r="391" spans="1:7" x14ac:dyDescent="0.3">
      <c r="A391" s="33">
        <v>46003.49486111111</v>
      </c>
      <c r="B391" s="34">
        <v>3900</v>
      </c>
      <c r="C391" s="34">
        <v>1.0175000000000001</v>
      </c>
      <c r="D391" s="34">
        <v>350.71429999999998</v>
      </c>
      <c r="E391" s="34">
        <v>356.23914000000002</v>
      </c>
      <c r="F391" s="34">
        <v>0</v>
      </c>
      <c r="G391" s="5">
        <f t="shared" ref="G391:G454" si="6">($B$2/3600)*((D390+D391)/2)</f>
        <v>0.97625486111111115</v>
      </c>
    </row>
    <row r="392" spans="1:7" x14ac:dyDescent="0.3">
      <c r="A392" s="33">
        <v>46003.494976851849</v>
      </c>
      <c r="B392" s="34">
        <v>3910</v>
      </c>
      <c r="C392" s="34">
        <v>1.0137</v>
      </c>
      <c r="D392" s="34">
        <v>349.66430000000003</v>
      </c>
      <c r="E392" s="34">
        <v>354.36419999999998</v>
      </c>
      <c r="F392" s="34">
        <v>0</v>
      </c>
      <c r="G392" s="5">
        <f t="shared" si="6"/>
        <v>0.97274805555555555</v>
      </c>
    </row>
    <row r="393" spans="1:7" x14ac:dyDescent="0.3">
      <c r="A393" s="33">
        <v>46003.495092592595</v>
      </c>
      <c r="B393" s="34">
        <v>3920</v>
      </c>
      <c r="C393" s="34">
        <v>1.01</v>
      </c>
      <c r="D393" s="34">
        <v>348.8143</v>
      </c>
      <c r="E393" s="34">
        <v>352.48926</v>
      </c>
      <c r="F393" s="34">
        <v>0</v>
      </c>
      <c r="G393" s="5">
        <f t="shared" si="6"/>
        <v>0.97010916666666669</v>
      </c>
    </row>
    <row r="394" spans="1:7" x14ac:dyDescent="0.3">
      <c r="A394" s="33">
        <v>46003.495208333334</v>
      </c>
      <c r="B394" s="34">
        <v>3930</v>
      </c>
      <c r="C394" s="34">
        <v>1.01</v>
      </c>
      <c r="D394" s="34">
        <v>348.13940000000002</v>
      </c>
      <c r="E394" s="34">
        <v>351.23928999999998</v>
      </c>
      <c r="F394" s="34">
        <v>0</v>
      </c>
      <c r="G394" s="5">
        <f t="shared" si="6"/>
        <v>0.96799125000000008</v>
      </c>
    </row>
    <row r="395" spans="1:7" x14ac:dyDescent="0.3">
      <c r="A395" s="33">
        <v>46003.495324074072</v>
      </c>
      <c r="B395" s="34">
        <v>3940</v>
      </c>
      <c r="C395" s="34">
        <v>1.0075000000000001</v>
      </c>
      <c r="D395" s="34">
        <v>347.56439999999998</v>
      </c>
      <c r="E395" s="34">
        <v>349.98932000000002</v>
      </c>
      <c r="F395" s="34">
        <v>0</v>
      </c>
      <c r="G395" s="5">
        <f t="shared" si="6"/>
        <v>0.96625527777777787</v>
      </c>
    </row>
    <row r="396" spans="1:7" x14ac:dyDescent="0.3">
      <c r="A396" s="33">
        <v>46003.495439814818</v>
      </c>
      <c r="B396" s="34">
        <v>3950</v>
      </c>
      <c r="C396" s="34">
        <v>1.0049999999999999</v>
      </c>
      <c r="D396" s="34">
        <v>347.06439999999998</v>
      </c>
      <c r="E396" s="34">
        <v>349.36435</v>
      </c>
      <c r="F396" s="34">
        <v>0</v>
      </c>
      <c r="G396" s="5">
        <f t="shared" si="6"/>
        <v>0.96476222222222219</v>
      </c>
    </row>
    <row r="397" spans="1:7" x14ac:dyDescent="0.3">
      <c r="A397" s="33">
        <v>46003.495555555557</v>
      </c>
      <c r="B397" s="34">
        <v>3960</v>
      </c>
      <c r="C397" s="34">
        <v>1.0037</v>
      </c>
      <c r="D397" s="34">
        <v>346.61439999999999</v>
      </c>
      <c r="E397" s="34">
        <v>348.11437999999998</v>
      </c>
      <c r="F397" s="34">
        <v>0</v>
      </c>
      <c r="G397" s="5">
        <f t="shared" si="6"/>
        <v>0.96344277777777765</v>
      </c>
    </row>
    <row r="398" spans="1:7" x14ac:dyDescent="0.3">
      <c r="A398" s="33">
        <v>46003.495671296296</v>
      </c>
      <c r="B398" s="34">
        <v>3970</v>
      </c>
      <c r="C398" s="34">
        <v>1.0024999999999999</v>
      </c>
      <c r="D398" s="34">
        <v>346.21440000000001</v>
      </c>
      <c r="E398" s="34">
        <v>346.86441000000002</v>
      </c>
      <c r="F398" s="34">
        <v>0</v>
      </c>
      <c r="G398" s="5">
        <f t="shared" si="6"/>
        <v>0.96226222222222224</v>
      </c>
    </row>
    <row r="399" spans="1:7" x14ac:dyDescent="0.3">
      <c r="A399" s="33">
        <v>46003.495787037034</v>
      </c>
      <c r="B399" s="34">
        <v>3980</v>
      </c>
      <c r="C399" s="34">
        <v>1.0013000000000001</v>
      </c>
      <c r="D399" s="34">
        <v>345.86439999999999</v>
      </c>
      <c r="E399" s="34">
        <v>346.23944</v>
      </c>
      <c r="F399" s="34">
        <v>0</v>
      </c>
      <c r="G399" s="5">
        <f t="shared" si="6"/>
        <v>0.96122055555555563</v>
      </c>
    </row>
    <row r="400" spans="1:7" x14ac:dyDescent="0.3">
      <c r="A400" s="33">
        <v>46003.49590277778</v>
      </c>
      <c r="B400" s="34">
        <v>3990</v>
      </c>
      <c r="C400" s="34">
        <v>1</v>
      </c>
      <c r="D400" s="34">
        <v>345.56450000000001</v>
      </c>
      <c r="E400" s="34">
        <v>344.98946999999998</v>
      </c>
      <c r="F400" s="34">
        <v>0</v>
      </c>
      <c r="G400" s="5">
        <f t="shared" si="6"/>
        <v>0.96031791666666666</v>
      </c>
    </row>
    <row r="401" spans="1:7" x14ac:dyDescent="0.3">
      <c r="A401" s="33">
        <v>46003.496018518519</v>
      </c>
      <c r="B401" s="34">
        <v>4000</v>
      </c>
      <c r="C401" s="34">
        <v>1</v>
      </c>
      <c r="D401" s="34">
        <v>345.2645</v>
      </c>
      <c r="E401" s="34">
        <v>344.98946999999998</v>
      </c>
      <c r="F401" s="34">
        <v>0</v>
      </c>
      <c r="G401" s="5">
        <f t="shared" si="6"/>
        <v>0.95948472222222214</v>
      </c>
    </row>
    <row r="402" spans="1:7" x14ac:dyDescent="0.3">
      <c r="A402" s="33">
        <v>46003.496134259258</v>
      </c>
      <c r="B402" s="34">
        <v>4010</v>
      </c>
      <c r="C402" s="34">
        <v>0.99870000000000003</v>
      </c>
      <c r="D402" s="34">
        <v>344.96440000000001</v>
      </c>
      <c r="E402" s="34">
        <v>344.36450000000002</v>
      </c>
      <c r="F402" s="34">
        <v>0</v>
      </c>
      <c r="G402" s="5">
        <f t="shared" si="6"/>
        <v>0.95865125000000018</v>
      </c>
    </row>
    <row r="403" spans="1:7" x14ac:dyDescent="0.3">
      <c r="A403" s="33">
        <v>46003.496249999997</v>
      </c>
      <c r="B403" s="34">
        <v>4020</v>
      </c>
      <c r="C403" s="34">
        <v>0.99870000000000003</v>
      </c>
      <c r="D403" s="34">
        <v>344.68950000000001</v>
      </c>
      <c r="E403" s="34">
        <v>344.36450000000002</v>
      </c>
      <c r="F403" s="34">
        <v>0</v>
      </c>
      <c r="G403" s="5">
        <f t="shared" si="6"/>
        <v>0.95785263888888894</v>
      </c>
    </row>
    <row r="404" spans="1:7" x14ac:dyDescent="0.3">
      <c r="A404" s="33">
        <v>46003.496365740742</v>
      </c>
      <c r="B404" s="34">
        <v>4030</v>
      </c>
      <c r="C404" s="34">
        <v>0.99870000000000003</v>
      </c>
      <c r="D404" s="34">
        <v>344.46449999999999</v>
      </c>
      <c r="E404" s="34">
        <v>344.36450000000002</v>
      </c>
      <c r="F404" s="34">
        <v>0</v>
      </c>
      <c r="G404" s="5">
        <f t="shared" si="6"/>
        <v>0.95715833333333333</v>
      </c>
    </row>
    <row r="405" spans="1:7" x14ac:dyDescent="0.3">
      <c r="A405" s="33">
        <v>46003.496481481481</v>
      </c>
      <c r="B405" s="34">
        <v>4040</v>
      </c>
      <c r="C405" s="34">
        <v>0.99870000000000003</v>
      </c>
      <c r="D405" s="34">
        <v>344.23950000000002</v>
      </c>
      <c r="E405" s="34">
        <v>343.73950000000002</v>
      </c>
      <c r="F405" s="34">
        <v>0</v>
      </c>
      <c r="G405" s="5">
        <f t="shared" si="6"/>
        <v>0.95653333333333335</v>
      </c>
    </row>
    <row r="406" spans="1:7" x14ac:dyDescent="0.3">
      <c r="A406" s="33">
        <v>46003.49659722222</v>
      </c>
      <c r="B406" s="34">
        <v>4050</v>
      </c>
      <c r="C406" s="34">
        <v>0.99750000000000005</v>
      </c>
      <c r="D406" s="34">
        <v>344.0145</v>
      </c>
      <c r="E406" s="34">
        <v>343.11453</v>
      </c>
      <c r="F406" s="34">
        <v>0</v>
      </c>
      <c r="G406" s="5">
        <f t="shared" si="6"/>
        <v>0.95590833333333336</v>
      </c>
    </row>
    <row r="407" spans="1:7" x14ac:dyDescent="0.3">
      <c r="A407" s="33">
        <v>46003.496712962966</v>
      </c>
      <c r="B407" s="34">
        <v>4060</v>
      </c>
      <c r="C407" s="34">
        <v>0.99619999999999997</v>
      </c>
      <c r="D407" s="34">
        <v>343.81450000000001</v>
      </c>
      <c r="E407" s="34">
        <v>341.86455999999998</v>
      </c>
      <c r="F407" s="34">
        <v>0</v>
      </c>
      <c r="G407" s="5">
        <f t="shared" si="6"/>
        <v>0.95531805555555549</v>
      </c>
    </row>
    <row r="408" spans="1:7" x14ac:dyDescent="0.3">
      <c r="A408" s="33">
        <v>46003.496828703705</v>
      </c>
      <c r="B408" s="34">
        <v>4070</v>
      </c>
      <c r="C408" s="34">
        <v>0.99619999999999997</v>
      </c>
      <c r="D408" s="34">
        <v>343.61450000000002</v>
      </c>
      <c r="E408" s="34">
        <v>341.86455999999998</v>
      </c>
      <c r="F408" s="34">
        <v>0</v>
      </c>
      <c r="G408" s="5">
        <f t="shared" si="6"/>
        <v>0.95476250000000018</v>
      </c>
    </row>
    <row r="409" spans="1:7" x14ac:dyDescent="0.3">
      <c r="A409" s="33">
        <v>46003.496944444443</v>
      </c>
      <c r="B409" s="34">
        <v>4080</v>
      </c>
      <c r="C409" s="34">
        <v>0.995</v>
      </c>
      <c r="D409" s="34">
        <v>343.41449999999998</v>
      </c>
      <c r="E409" s="34">
        <v>341.86455999999998</v>
      </c>
      <c r="F409" s="34">
        <v>0</v>
      </c>
      <c r="G409" s="5">
        <f t="shared" si="6"/>
        <v>0.95420694444444443</v>
      </c>
    </row>
    <row r="410" spans="1:7" x14ac:dyDescent="0.3">
      <c r="A410" s="33">
        <v>46003.497060185182</v>
      </c>
      <c r="B410" s="34">
        <v>4090</v>
      </c>
      <c r="C410" s="34">
        <v>0.995</v>
      </c>
      <c r="D410" s="34">
        <v>343.23950000000002</v>
      </c>
      <c r="E410" s="34">
        <v>341.23959000000002</v>
      </c>
      <c r="F410" s="34">
        <v>0</v>
      </c>
      <c r="G410" s="5">
        <f t="shared" si="6"/>
        <v>0.95368611111111112</v>
      </c>
    </row>
    <row r="411" spans="1:7" x14ac:dyDescent="0.3">
      <c r="A411" s="33">
        <v>46003.497175925928</v>
      </c>
      <c r="B411" s="34">
        <v>4100</v>
      </c>
      <c r="C411" s="34">
        <v>0.995</v>
      </c>
      <c r="D411" s="34">
        <v>343.06450000000001</v>
      </c>
      <c r="E411" s="34">
        <v>341.23959000000002</v>
      </c>
      <c r="F411" s="34">
        <v>0</v>
      </c>
      <c r="G411" s="5">
        <f t="shared" si="6"/>
        <v>0.95320000000000016</v>
      </c>
    </row>
    <row r="412" spans="1:7" x14ac:dyDescent="0.3">
      <c r="A412" s="33">
        <v>46003.497291666667</v>
      </c>
      <c r="B412" s="34">
        <v>4110</v>
      </c>
      <c r="C412" s="34">
        <v>0.99370000000000003</v>
      </c>
      <c r="D412" s="34">
        <v>342.8895</v>
      </c>
      <c r="E412" s="34">
        <v>341.23959000000002</v>
      </c>
      <c r="F412" s="34">
        <v>0</v>
      </c>
      <c r="G412" s="5">
        <f t="shared" si="6"/>
        <v>0.95271388888888886</v>
      </c>
    </row>
    <row r="413" spans="1:7" x14ac:dyDescent="0.3">
      <c r="A413" s="33">
        <v>46003.497407407405</v>
      </c>
      <c r="B413" s="34">
        <v>4120</v>
      </c>
      <c r="C413" s="34">
        <v>0.99250000000000005</v>
      </c>
      <c r="D413" s="34">
        <v>342.71449999999999</v>
      </c>
      <c r="E413" s="34">
        <v>339.98962</v>
      </c>
      <c r="F413" s="34">
        <v>0</v>
      </c>
      <c r="G413" s="5">
        <f t="shared" si="6"/>
        <v>0.9522277777777779</v>
      </c>
    </row>
    <row r="414" spans="1:7" x14ac:dyDescent="0.3">
      <c r="A414" s="33">
        <v>46003.497523148151</v>
      </c>
      <c r="B414" s="34">
        <v>4130</v>
      </c>
      <c r="C414" s="34">
        <v>0.99250000000000005</v>
      </c>
      <c r="D414" s="34">
        <v>342.5145</v>
      </c>
      <c r="E414" s="34">
        <v>339.98962</v>
      </c>
      <c r="F414" s="34">
        <v>0</v>
      </c>
      <c r="G414" s="5">
        <f t="shared" si="6"/>
        <v>0.95170694444444459</v>
      </c>
    </row>
    <row r="415" spans="1:7" x14ac:dyDescent="0.3">
      <c r="A415" s="33">
        <v>46003.49763888889</v>
      </c>
      <c r="B415" s="34">
        <v>4140</v>
      </c>
      <c r="C415" s="34">
        <v>0.99119999999999997</v>
      </c>
      <c r="D415" s="34">
        <v>342.33949999999999</v>
      </c>
      <c r="E415" s="34">
        <v>339.36464999999998</v>
      </c>
      <c r="F415" s="34">
        <v>0</v>
      </c>
      <c r="G415" s="5">
        <f t="shared" si="6"/>
        <v>0.95118611111111118</v>
      </c>
    </row>
    <row r="416" spans="1:7" x14ac:dyDescent="0.3">
      <c r="A416" s="33">
        <v>46003.497754629629</v>
      </c>
      <c r="B416" s="34">
        <v>4150</v>
      </c>
      <c r="C416" s="34">
        <v>0.99119999999999997</v>
      </c>
      <c r="D416" s="34">
        <v>342.16460000000001</v>
      </c>
      <c r="E416" s="34">
        <v>338.73964999999998</v>
      </c>
      <c r="F416" s="34">
        <v>0</v>
      </c>
      <c r="G416" s="5">
        <f t="shared" si="6"/>
        <v>0.95070013888888893</v>
      </c>
    </row>
    <row r="417" spans="1:7" x14ac:dyDescent="0.3">
      <c r="A417" s="33">
        <v>46003.497870370367</v>
      </c>
      <c r="B417" s="34">
        <v>4160</v>
      </c>
      <c r="C417" s="34">
        <v>0.99</v>
      </c>
      <c r="D417" s="34">
        <v>341.9896</v>
      </c>
      <c r="E417" s="34">
        <v>338.73964999999998</v>
      </c>
      <c r="F417" s="34">
        <v>0</v>
      </c>
      <c r="G417" s="5">
        <f t="shared" si="6"/>
        <v>0.95021416666666658</v>
      </c>
    </row>
    <row r="418" spans="1:7" x14ac:dyDescent="0.3">
      <c r="A418" s="33">
        <v>46003.497986111113</v>
      </c>
      <c r="B418" s="34">
        <v>4170</v>
      </c>
      <c r="C418" s="34">
        <v>0.99</v>
      </c>
      <c r="D418" s="34">
        <v>341.81450000000001</v>
      </c>
      <c r="E418" s="34">
        <v>338.11469</v>
      </c>
      <c r="F418" s="34">
        <v>0</v>
      </c>
      <c r="G418" s="5">
        <f t="shared" si="6"/>
        <v>0.94972791666666678</v>
      </c>
    </row>
    <row r="419" spans="1:7" x14ac:dyDescent="0.3">
      <c r="A419" s="33">
        <v>46003.498101851852</v>
      </c>
      <c r="B419" s="34">
        <v>4180</v>
      </c>
      <c r="C419" s="34">
        <v>1.23</v>
      </c>
      <c r="D419" s="34">
        <v>0</v>
      </c>
      <c r="E419" s="34">
        <v>0</v>
      </c>
      <c r="F419" s="34">
        <v>1</v>
      </c>
      <c r="G419" s="5">
        <f t="shared" si="6"/>
        <v>0.47474236111111112</v>
      </c>
    </row>
    <row r="420" spans="1:7" x14ac:dyDescent="0.3">
      <c r="A420" s="33">
        <v>46003.498217592591</v>
      </c>
      <c r="B420" s="34">
        <v>4190</v>
      </c>
      <c r="C420" s="34">
        <v>1.24</v>
      </c>
      <c r="D420" s="34">
        <v>0</v>
      </c>
      <c r="E420" s="34">
        <v>0</v>
      </c>
      <c r="F420" s="34">
        <v>1</v>
      </c>
      <c r="G420" s="5">
        <f t="shared" si="6"/>
        <v>0</v>
      </c>
    </row>
    <row r="421" spans="1:7" x14ac:dyDescent="0.3">
      <c r="A421" s="33">
        <v>46003.498333333337</v>
      </c>
      <c r="B421" s="34">
        <v>4200</v>
      </c>
      <c r="C421" s="34">
        <v>1.2450000000000001</v>
      </c>
      <c r="D421" s="34">
        <v>0</v>
      </c>
      <c r="E421" s="34">
        <v>0</v>
      </c>
      <c r="F421" s="34">
        <v>1</v>
      </c>
      <c r="G421" s="5">
        <f t="shared" si="6"/>
        <v>0</v>
      </c>
    </row>
    <row r="422" spans="1:7" x14ac:dyDescent="0.3">
      <c r="A422" s="33">
        <v>46003.498449074075</v>
      </c>
      <c r="B422" s="34">
        <v>4210</v>
      </c>
      <c r="C422" s="34">
        <v>1.2486999999999999</v>
      </c>
      <c r="D422" s="34">
        <v>0</v>
      </c>
      <c r="E422" s="34">
        <v>0</v>
      </c>
      <c r="F422" s="34">
        <v>1</v>
      </c>
      <c r="G422" s="5">
        <f t="shared" si="6"/>
        <v>0</v>
      </c>
    </row>
    <row r="423" spans="1:7" x14ac:dyDescent="0.3">
      <c r="A423" s="33">
        <v>46003.498564814814</v>
      </c>
      <c r="B423" s="34">
        <v>4220</v>
      </c>
      <c r="C423" s="34">
        <v>1.2537</v>
      </c>
      <c r="D423" s="34">
        <v>0</v>
      </c>
      <c r="E423" s="34">
        <v>0</v>
      </c>
      <c r="F423" s="34">
        <v>1</v>
      </c>
      <c r="G423" s="5">
        <f t="shared" si="6"/>
        <v>0</v>
      </c>
    </row>
    <row r="424" spans="1:7" x14ac:dyDescent="0.3">
      <c r="A424" s="33">
        <v>46003.498680555553</v>
      </c>
      <c r="B424" s="34">
        <v>4230</v>
      </c>
      <c r="C424" s="34">
        <v>1.2563</v>
      </c>
      <c r="D424" s="34">
        <v>0</v>
      </c>
      <c r="E424" s="34">
        <v>0</v>
      </c>
      <c r="F424" s="34">
        <v>1</v>
      </c>
      <c r="G424" s="5">
        <f t="shared" si="6"/>
        <v>0</v>
      </c>
    </row>
    <row r="425" spans="1:7" x14ac:dyDescent="0.3">
      <c r="A425" s="33">
        <v>46003.498796296299</v>
      </c>
      <c r="B425" s="34">
        <v>4240</v>
      </c>
      <c r="C425" s="34">
        <v>1.26</v>
      </c>
      <c r="D425" s="34">
        <v>0</v>
      </c>
      <c r="E425" s="34">
        <v>0</v>
      </c>
      <c r="F425" s="34">
        <v>1</v>
      </c>
      <c r="G425" s="5">
        <f t="shared" si="6"/>
        <v>0</v>
      </c>
    </row>
    <row r="426" spans="1:7" x14ac:dyDescent="0.3">
      <c r="A426" s="33">
        <v>46003.498912037037</v>
      </c>
      <c r="B426" s="34">
        <v>4250</v>
      </c>
      <c r="C426" s="34">
        <v>1.2613000000000001</v>
      </c>
      <c r="D426" s="34">
        <v>0</v>
      </c>
      <c r="E426" s="34">
        <v>0</v>
      </c>
      <c r="F426" s="34">
        <v>1</v>
      </c>
      <c r="G426" s="5">
        <f t="shared" si="6"/>
        <v>0</v>
      </c>
    </row>
    <row r="427" spans="1:7" x14ac:dyDescent="0.3">
      <c r="A427" s="33">
        <v>46003.499027777776</v>
      </c>
      <c r="B427" s="34">
        <v>4260</v>
      </c>
      <c r="C427" s="34">
        <v>1.2637</v>
      </c>
      <c r="D427" s="34">
        <v>0</v>
      </c>
      <c r="E427" s="34">
        <v>0</v>
      </c>
      <c r="F427" s="34">
        <v>1</v>
      </c>
      <c r="G427" s="5">
        <f t="shared" si="6"/>
        <v>0</v>
      </c>
    </row>
    <row r="428" spans="1:7" x14ac:dyDescent="0.3">
      <c r="A428" s="33">
        <v>46003.499143518522</v>
      </c>
      <c r="B428" s="34">
        <v>4270</v>
      </c>
      <c r="C428" s="34">
        <v>1.0175000000000001</v>
      </c>
      <c r="D428" s="34">
        <v>350.51429999999999</v>
      </c>
      <c r="E428" s="34">
        <v>356.23914000000002</v>
      </c>
      <c r="F428" s="34">
        <v>0</v>
      </c>
      <c r="G428" s="5">
        <f t="shared" si="6"/>
        <v>0.48682541666666668</v>
      </c>
    </row>
    <row r="429" spans="1:7" x14ac:dyDescent="0.3">
      <c r="A429" s="33">
        <v>46003.499259259261</v>
      </c>
      <c r="B429" s="34">
        <v>4280</v>
      </c>
      <c r="C429" s="34">
        <v>1.01</v>
      </c>
      <c r="D429" s="34">
        <v>348.11439999999999</v>
      </c>
      <c r="E429" s="34">
        <v>351.23928999999998</v>
      </c>
      <c r="F429" s="34">
        <v>0</v>
      </c>
      <c r="G429" s="5">
        <f t="shared" si="6"/>
        <v>0.97031763888888889</v>
      </c>
    </row>
    <row r="430" spans="1:7" x14ac:dyDescent="0.3">
      <c r="A430" s="33">
        <v>46003.499374999999</v>
      </c>
      <c r="B430" s="34">
        <v>4290</v>
      </c>
      <c r="C430" s="34">
        <v>1.0037</v>
      </c>
      <c r="D430" s="34">
        <v>346.6644</v>
      </c>
      <c r="E430" s="34">
        <v>348.11437999999998</v>
      </c>
      <c r="F430" s="34">
        <v>0</v>
      </c>
      <c r="G430" s="5">
        <f t="shared" si="6"/>
        <v>0.96497055555555566</v>
      </c>
    </row>
    <row r="431" spans="1:7" x14ac:dyDescent="0.3">
      <c r="A431" s="33">
        <v>46003.499490740738</v>
      </c>
      <c r="B431" s="34">
        <v>4300</v>
      </c>
      <c r="C431" s="34">
        <v>1</v>
      </c>
      <c r="D431" s="34">
        <v>345.58940000000001</v>
      </c>
      <c r="E431" s="34">
        <v>345.61444</v>
      </c>
      <c r="F431" s="34">
        <v>0</v>
      </c>
      <c r="G431" s="5">
        <f t="shared" si="6"/>
        <v>0.96146361111111112</v>
      </c>
    </row>
    <row r="432" spans="1:7" x14ac:dyDescent="0.3">
      <c r="A432" s="33">
        <v>46003.499606481484</v>
      </c>
      <c r="B432" s="34">
        <v>4310</v>
      </c>
      <c r="C432" s="34">
        <v>0.99750000000000005</v>
      </c>
      <c r="D432" s="34">
        <v>344.73950000000002</v>
      </c>
      <c r="E432" s="34">
        <v>344.36450000000002</v>
      </c>
      <c r="F432" s="34">
        <v>0</v>
      </c>
      <c r="G432" s="5">
        <f t="shared" si="6"/>
        <v>0.95879013888888887</v>
      </c>
    </row>
    <row r="433" spans="1:7" x14ac:dyDescent="0.3">
      <c r="A433" s="33">
        <v>46003.499722222223</v>
      </c>
      <c r="B433" s="34">
        <v>4320</v>
      </c>
      <c r="C433" s="34">
        <v>0.99750000000000005</v>
      </c>
      <c r="D433" s="34">
        <v>344.03949999999998</v>
      </c>
      <c r="E433" s="34">
        <v>343.11453</v>
      </c>
      <c r="F433" s="34">
        <v>0</v>
      </c>
      <c r="G433" s="5">
        <f t="shared" si="6"/>
        <v>0.95663750000000003</v>
      </c>
    </row>
    <row r="434" spans="1:7" x14ac:dyDescent="0.3">
      <c r="A434" s="33">
        <v>46003.499837962961</v>
      </c>
      <c r="B434" s="34">
        <v>4330</v>
      </c>
      <c r="C434" s="34">
        <v>0.995</v>
      </c>
      <c r="D434" s="34">
        <v>343.48950000000002</v>
      </c>
      <c r="E434" s="34">
        <v>341.86455999999998</v>
      </c>
      <c r="F434" s="34">
        <v>0</v>
      </c>
      <c r="G434" s="5">
        <f t="shared" si="6"/>
        <v>0.95490138888888887</v>
      </c>
    </row>
    <row r="435" spans="1:7" x14ac:dyDescent="0.3">
      <c r="A435" s="33">
        <v>46003.4999537037</v>
      </c>
      <c r="B435" s="34">
        <v>4340</v>
      </c>
      <c r="C435" s="34">
        <v>0.99370000000000003</v>
      </c>
      <c r="D435" s="34">
        <v>342.96449999999999</v>
      </c>
      <c r="E435" s="34">
        <v>341.23959000000002</v>
      </c>
      <c r="F435" s="34">
        <v>0</v>
      </c>
      <c r="G435" s="5">
        <f t="shared" si="6"/>
        <v>0.9534083333333333</v>
      </c>
    </row>
    <row r="436" spans="1:7" x14ac:dyDescent="0.3">
      <c r="A436" s="33">
        <v>46003.500069444446</v>
      </c>
      <c r="B436" s="34">
        <v>4350</v>
      </c>
      <c r="C436" s="34">
        <v>0.99119999999999997</v>
      </c>
      <c r="D436" s="34">
        <v>342.53960000000001</v>
      </c>
      <c r="E436" s="34">
        <v>339.98962</v>
      </c>
      <c r="F436" s="34">
        <v>0</v>
      </c>
      <c r="G436" s="5">
        <f t="shared" si="6"/>
        <v>0.95208902777777782</v>
      </c>
    </row>
    <row r="437" spans="1:7" x14ac:dyDescent="0.3">
      <c r="A437" s="33">
        <v>46003.500185185185</v>
      </c>
      <c r="B437" s="34">
        <v>4360</v>
      </c>
      <c r="C437" s="34">
        <v>0.99119999999999997</v>
      </c>
      <c r="D437" s="34">
        <v>342.16460000000001</v>
      </c>
      <c r="E437" s="34">
        <v>338.73964999999998</v>
      </c>
      <c r="F437" s="34">
        <v>0</v>
      </c>
      <c r="G437" s="5">
        <f t="shared" si="6"/>
        <v>0.95097805555555559</v>
      </c>
    </row>
    <row r="438" spans="1:7" x14ac:dyDescent="0.3">
      <c r="A438" s="33">
        <v>46003.500300925924</v>
      </c>
      <c r="B438" s="34">
        <v>4370</v>
      </c>
      <c r="C438" s="34">
        <v>0.99</v>
      </c>
      <c r="D438" s="34">
        <v>341.78960000000001</v>
      </c>
      <c r="E438" s="34">
        <v>338.11469</v>
      </c>
      <c r="F438" s="34">
        <v>0</v>
      </c>
      <c r="G438" s="5">
        <f t="shared" si="6"/>
        <v>0.94993638888888898</v>
      </c>
    </row>
    <row r="439" spans="1:7" x14ac:dyDescent="0.3">
      <c r="A439" s="33">
        <v>46003.500416666669</v>
      </c>
      <c r="B439" s="34">
        <v>4380</v>
      </c>
      <c r="C439" s="34">
        <v>0.98870000000000002</v>
      </c>
      <c r="D439" s="34">
        <v>341.4896</v>
      </c>
      <c r="E439" s="34">
        <v>338.11469</v>
      </c>
      <c r="F439" s="34">
        <v>0</v>
      </c>
      <c r="G439" s="5">
        <f t="shared" si="6"/>
        <v>0.94899888888888884</v>
      </c>
    </row>
    <row r="440" spans="1:7" x14ac:dyDescent="0.3">
      <c r="A440" s="33">
        <v>46003.500532407408</v>
      </c>
      <c r="B440" s="34">
        <v>4390</v>
      </c>
      <c r="C440" s="34">
        <v>0.98870000000000002</v>
      </c>
      <c r="D440" s="34">
        <v>341.18959999999998</v>
      </c>
      <c r="E440" s="34">
        <v>336.86471999999998</v>
      </c>
      <c r="F440" s="34">
        <v>0</v>
      </c>
      <c r="G440" s="5">
        <f t="shared" si="6"/>
        <v>0.94816555555555559</v>
      </c>
    </row>
    <row r="441" spans="1:7" x14ac:dyDescent="0.3">
      <c r="A441" s="33">
        <v>46003.500648148147</v>
      </c>
      <c r="B441" s="34">
        <v>4400</v>
      </c>
      <c r="C441" s="34">
        <v>0.98750000000000004</v>
      </c>
      <c r="D441" s="34">
        <v>340.91460000000001</v>
      </c>
      <c r="E441" s="34">
        <v>336.23975000000002</v>
      </c>
      <c r="F441" s="34">
        <v>0</v>
      </c>
      <c r="G441" s="5">
        <f t="shared" si="6"/>
        <v>0.94736694444444447</v>
      </c>
    </row>
    <row r="442" spans="1:7" x14ac:dyDescent="0.3">
      <c r="A442" s="33">
        <v>46003.500763888886</v>
      </c>
      <c r="B442" s="34">
        <v>4410</v>
      </c>
      <c r="C442" s="34">
        <v>0.98619999999999997</v>
      </c>
      <c r="D442" s="34">
        <v>340.63959999999997</v>
      </c>
      <c r="E442" s="34">
        <v>335.61475000000002</v>
      </c>
      <c r="F442" s="34">
        <v>0</v>
      </c>
      <c r="G442" s="5">
        <f t="shared" si="6"/>
        <v>0.94660305555555568</v>
      </c>
    </row>
    <row r="443" spans="1:7" x14ac:dyDescent="0.3">
      <c r="A443" s="33">
        <v>46003.500879629632</v>
      </c>
      <c r="B443" s="34">
        <v>4420</v>
      </c>
      <c r="C443" s="34">
        <v>0.98619999999999997</v>
      </c>
      <c r="D443" s="34">
        <v>340.38959999999997</v>
      </c>
      <c r="E443" s="34">
        <v>335.61475000000002</v>
      </c>
      <c r="F443" s="34">
        <v>0</v>
      </c>
      <c r="G443" s="5">
        <f t="shared" si="6"/>
        <v>0.9458738888888889</v>
      </c>
    </row>
    <row r="444" spans="1:7" x14ac:dyDescent="0.3">
      <c r="A444" s="33">
        <v>46003.50099537037</v>
      </c>
      <c r="B444" s="34">
        <v>4430</v>
      </c>
      <c r="C444" s="34">
        <v>0.98499999999999999</v>
      </c>
      <c r="D444" s="34">
        <v>340.18959999999998</v>
      </c>
      <c r="E444" s="34">
        <v>334.98978</v>
      </c>
      <c r="F444" s="34">
        <v>0</v>
      </c>
      <c r="G444" s="5">
        <f t="shared" si="6"/>
        <v>0.94524888888888881</v>
      </c>
    </row>
    <row r="445" spans="1:7" x14ac:dyDescent="0.3">
      <c r="A445" s="33">
        <v>46003.501111111109</v>
      </c>
      <c r="B445" s="34">
        <v>4440</v>
      </c>
      <c r="C445" s="34">
        <v>0.98370000000000002</v>
      </c>
      <c r="D445" s="34">
        <v>339.96460000000002</v>
      </c>
      <c r="E445" s="34">
        <v>334.98978</v>
      </c>
      <c r="F445" s="34">
        <v>0</v>
      </c>
      <c r="G445" s="5">
        <f t="shared" si="6"/>
        <v>0.94465861111111105</v>
      </c>
    </row>
    <row r="446" spans="1:7" x14ac:dyDescent="0.3">
      <c r="A446" s="33">
        <v>46003.501226851855</v>
      </c>
      <c r="B446" s="34">
        <v>4450</v>
      </c>
      <c r="C446" s="34">
        <v>0.98370000000000002</v>
      </c>
      <c r="D446" s="34">
        <v>339.76459999999997</v>
      </c>
      <c r="E446" s="34">
        <v>333.73980999999998</v>
      </c>
      <c r="F446" s="34">
        <v>0</v>
      </c>
      <c r="G446" s="5">
        <f t="shared" si="6"/>
        <v>0.9440683333333334</v>
      </c>
    </row>
    <row r="447" spans="1:7" x14ac:dyDescent="0.3">
      <c r="A447" s="33">
        <v>46003.501342592594</v>
      </c>
      <c r="B447" s="34">
        <v>4460</v>
      </c>
      <c r="C447" s="34">
        <v>0.98370000000000002</v>
      </c>
      <c r="D447" s="34">
        <v>339.56459999999998</v>
      </c>
      <c r="E447" s="34">
        <v>333.73980999999998</v>
      </c>
      <c r="F447" s="34">
        <v>0</v>
      </c>
      <c r="G447" s="5">
        <f t="shared" si="6"/>
        <v>0.94351277777777764</v>
      </c>
    </row>
    <row r="448" spans="1:7" x14ac:dyDescent="0.3">
      <c r="A448" s="33">
        <v>46003.501458333332</v>
      </c>
      <c r="B448" s="34">
        <v>4470</v>
      </c>
      <c r="C448" s="34">
        <v>0.98250000000000004</v>
      </c>
      <c r="D448" s="34">
        <v>339.3646</v>
      </c>
      <c r="E448" s="34">
        <v>333.73980999999998</v>
      </c>
      <c r="F448" s="34">
        <v>0</v>
      </c>
      <c r="G448" s="5">
        <f t="shared" si="6"/>
        <v>0.94295722222222234</v>
      </c>
    </row>
    <row r="449" spans="1:7" x14ac:dyDescent="0.3">
      <c r="A449" s="33">
        <v>46003.501574074071</v>
      </c>
      <c r="B449" s="34">
        <v>4480</v>
      </c>
      <c r="C449" s="34">
        <v>0.98119999999999996</v>
      </c>
      <c r="D449" s="34">
        <v>339.18959999999998</v>
      </c>
      <c r="E449" s="34">
        <v>332.48987</v>
      </c>
      <c r="F449" s="34">
        <v>0</v>
      </c>
      <c r="G449" s="5">
        <f t="shared" si="6"/>
        <v>0.94243638888888903</v>
      </c>
    </row>
    <row r="450" spans="1:7" x14ac:dyDescent="0.3">
      <c r="A450" s="33">
        <v>46003.501689814817</v>
      </c>
      <c r="B450" s="34">
        <v>4490</v>
      </c>
      <c r="C450" s="34">
        <v>0.98119999999999996</v>
      </c>
      <c r="D450" s="34">
        <v>339.01459999999997</v>
      </c>
      <c r="E450" s="34">
        <v>332.48987</v>
      </c>
      <c r="F450" s="34">
        <v>0</v>
      </c>
      <c r="G450" s="5">
        <f t="shared" si="6"/>
        <v>0.94195027777777762</v>
      </c>
    </row>
    <row r="451" spans="1:7" x14ac:dyDescent="0.3">
      <c r="A451" s="33">
        <v>46003.501805555556</v>
      </c>
      <c r="B451" s="34">
        <v>4500</v>
      </c>
      <c r="C451" s="34">
        <v>0.98</v>
      </c>
      <c r="D451" s="34">
        <v>338.83969999999999</v>
      </c>
      <c r="E451" s="34">
        <v>331.86487</v>
      </c>
      <c r="F451" s="34">
        <v>0</v>
      </c>
      <c r="G451" s="5">
        <f t="shared" si="6"/>
        <v>0.94146430555555549</v>
      </c>
    </row>
    <row r="452" spans="1:7" x14ac:dyDescent="0.3">
      <c r="A452" s="33">
        <v>46003.501921296294</v>
      </c>
      <c r="B452" s="34">
        <v>4510</v>
      </c>
      <c r="C452" s="34">
        <v>0.98</v>
      </c>
      <c r="D452" s="34">
        <v>338.66460000000001</v>
      </c>
      <c r="E452" s="34">
        <v>331.86487</v>
      </c>
      <c r="F452" s="34">
        <v>0</v>
      </c>
      <c r="G452" s="5">
        <f t="shared" si="6"/>
        <v>0.94097819444444453</v>
      </c>
    </row>
    <row r="453" spans="1:7" x14ac:dyDescent="0.3">
      <c r="A453" s="33">
        <v>46003.50203703704</v>
      </c>
      <c r="B453" s="34">
        <v>4520</v>
      </c>
      <c r="C453" s="34">
        <v>0.97870000000000001</v>
      </c>
      <c r="D453" s="34">
        <v>338.48970000000003</v>
      </c>
      <c r="E453" s="34">
        <v>331.23989999999998</v>
      </c>
      <c r="F453" s="34">
        <v>0</v>
      </c>
      <c r="G453" s="5">
        <f t="shared" si="6"/>
        <v>0.94049208333333345</v>
      </c>
    </row>
    <row r="454" spans="1:7" x14ac:dyDescent="0.3">
      <c r="A454" s="33">
        <v>46003.502152777779</v>
      </c>
      <c r="B454" s="34">
        <v>4530</v>
      </c>
      <c r="C454" s="34">
        <v>0.97870000000000001</v>
      </c>
      <c r="D454" s="34">
        <v>338.31470000000002</v>
      </c>
      <c r="E454" s="34">
        <v>330.61489999999998</v>
      </c>
      <c r="F454" s="34">
        <v>0</v>
      </c>
      <c r="G454" s="5">
        <f t="shared" si="6"/>
        <v>0.9400061111111111</v>
      </c>
    </row>
    <row r="455" spans="1:7" x14ac:dyDescent="0.3">
      <c r="A455" s="33">
        <v>46003.502268518518</v>
      </c>
      <c r="B455" s="34">
        <v>4540</v>
      </c>
      <c r="C455" s="34">
        <v>0.97750000000000004</v>
      </c>
      <c r="D455" s="34">
        <v>338.1397</v>
      </c>
      <c r="E455" s="34">
        <v>330.61489999999998</v>
      </c>
      <c r="F455" s="34">
        <v>0</v>
      </c>
      <c r="G455" s="5">
        <f t="shared" ref="G455:G518" si="7">($B$2/3600)*((D454+D455)/2)</f>
        <v>0.93952000000000013</v>
      </c>
    </row>
    <row r="456" spans="1:7" x14ac:dyDescent="0.3">
      <c r="A456" s="33">
        <v>46003.502384259256</v>
      </c>
      <c r="B456" s="34">
        <v>4550</v>
      </c>
      <c r="C456" s="34">
        <v>0.97870000000000001</v>
      </c>
      <c r="D456" s="34">
        <v>337.96469999999999</v>
      </c>
      <c r="E456" s="34">
        <v>330.61489999999998</v>
      </c>
      <c r="F456" s="34">
        <v>0</v>
      </c>
      <c r="G456" s="5">
        <f t="shared" si="7"/>
        <v>0.93903388888888883</v>
      </c>
    </row>
    <row r="457" spans="1:7" x14ac:dyDescent="0.3">
      <c r="A457" s="33">
        <v>46003.502500000002</v>
      </c>
      <c r="B457" s="34">
        <v>4560</v>
      </c>
      <c r="C457" s="34">
        <v>0.97870000000000001</v>
      </c>
      <c r="D457" s="34">
        <v>337.81470000000002</v>
      </c>
      <c r="E457" s="34">
        <v>330.61489999999998</v>
      </c>
      <c r="F457" s="34">
        <v>0</v>
      </c>
      <c r="G457" s="5">
        <f t="shared" si="7"/>
        <v>0.9385825000000001</v>
      </c>
    </row>
    <row r="458" spans="1:7" x14ac:dyDescent="0.3">
      <c r="A458" s="33">
        <v>46003.502615740741</v>
      </c>
      <c r="B458" s="34">
        <v>4570</v>
      </c>
      <c r="C458" s="34">
        <v>1.22</v>
      </c>
      <c r="D458" s="34">
        <v>0</v>
      </c>
      <c r="E458" s="34">
        <v>0</v>
      </c>
      <c r="F458" s="34">
        <v>1</v>
      </c>
      <c r="G458" s="5">
        <f t="shared" si="7"/>
        <v>0.46918708333333337</v>
      </c>
    </row>
    <row r="459" spans="1:7" x14ac:dyDescent="0.3">
      <c r="A459" s="33">
        <v>46003.50273148148</v>
      </c>
      <c r="B459" s="34">
        <v>4580</v>
      </c>
      <c r="C459" s="34">
        <v>1.23</v>
      </c>
      <c r="D459" s="34">
        <v>0</v>
      </c>
      <c r="E459" s="34">
        <v>0</v>
      </c>
      <c r="F459" s="34">
        <v>1</v>
      </c>
      <c r="G459" s="5">
        <f t="shared" si="7"/>
        <v>0</v>
      </c>
    </row>
    <row r="460" spans="1:7" x14ac:dyDescent="0.3">
      <c r="A460" s="33">
        <v>46003.502847222226</v>
      </c>
      <c r="B460" s="34">
        <v>4590</v>
      </c>
      <c r="C460" s="34">
        <v>1.2362</v>
      </c>
      <c r="D460" s="34">
        <v>0</v>
      </c>
      <c r="E460" s="34">
        <v>0</v>
      </c>
      <c r="F460" s="34">
        <v>1</v>
      </c>
      <c r="G460" s="5">
        <f t="shared" si="7"/>
        <v>0</v>
      </c>
    </row>
    <row r="461" spans="1:7" x14ac:dyDescent="0.3">
      <c r="A461" s="33">
        <v>46003.502962962964</v>
      </c>
      <c r="B461" s="34">
        <v>4600</v>
      </c>
      <c r="C461" s="34">
        <v>1.24</v>
      </c>
      <c r="D461" s="34">
        <v>0</v>
      </c>
      <c r="E461" s="34">
        <v>0</v>
      </c>
      <c r="F461" s="34">
        <v>1</v>
      </c>
      <c r="G461" s="5">
        <f t="shared" si="7"/>
        <v>0</v>
      </c>
    </row>
    <row r="462" spans="1:7" x14ac:dyDescent="0.3">
      <c r="A462" s="33">
        <v>46003.503078703703</v>
      </c>
      <c r="B462" s="34">
        <v>4610</v>
      </c>
      <c r="C462" s="34">
        <v>1.2437</v>
      </c>
      <c r="D462" s="34">
        <v>0</v>
      </c>
      <c r="E462" s="34">
        <v>0</v>
      </c>
      <c r="F462" s="34">
        <v>1</v>
      </c>
      <c r="G462" s="5">
        <f t="shared" si="7"/>
        <v>0</v>
      </c>
    </row>
    <row r="463" spans="1:7" x14ac:dyDescent="0.3">
      <c r="A463" s="33">
        <v>46003.503194444442</v>
      </c>
      <c r="B463" s="34">
        <v>4620</v>
      </c>
      <c r="C463" s="34">
        <v>1.2475000000000001</v>
      </c>
      <c r="D463" s="34">
        <v>0</v>
      </c>
      <c r="E463" s="34">
        <v>0</v>
      </c>
      <c r="F463" s="34">
        <v>1</v>
      </c>
      <c r="G463" s="5">
        <f t="shared" si="7"/>
        <v>0</v>
      </c>
    </row>
    <row r="464" spans="1:7" x14ac:dyDescent="0.3">
      <c r="A464" s="33">
        <v>46003.503310185188</v>
      </c>
      <c r="B464" s="34">
        <v>4630</v>
      </c>
      <c r="C464" s="34">
        <v>1.25</v>
      </c>
      <c r="D464" s="34">
        <v>0</v>
      </c>
      <c r="E464" s="34">
        <v>0</v>
      </c>
      <c r="F464" s="34">
        <v>1</v>
      </c>
      <c r="G464" s="5">
        <f t="shared" si="7"/>
        <v>0</v>
      </c>
    </row>
    <row r="465" spans="1:7" x14ac:dyDescent="0.3">
      <c r="A465" s="33">
        <v>46003.503425925926</v>
      </c>
      <c r="B465" s="34">
        <v>4640</v>
      </c>
      <c r="C465" s="34">
        <v>1.2524999999999999</v>
      </c>
      <c r="D465" s="34">
        <v>0</v>
      </c>
      <c r="E465" s="34">
        <v>0</v>
      </c>
      <c r="F465" s="34">
        <v>1</v>
      </c>
      <c r="G465" s="5">
        <f t="shared" si="7"/>
        <v>0</v>
      </c>
    </row>
    <row r="466" spans="1:7" x14ac:dyDescent="0.3">
      <c r="A466" s="33">
        <v>46003.503541666665</v>
      </c>
      <c r="B466" s="34">
        <v>4650</v>
      </c>
      <c r="C466" s="34">
        <v>1.2549999999999999</v>
      </c>
      <c r="D466" s="34">
        <v>0</v>
      </c>
      <c r="E466" s="34">
        <v>0</v>
      </c>
      <c r="F466" s="34">
        <v>1</v>
      </c>
      <c r="G466" s="5">
        <f t="shared" si="7"/>
        <v>0</v>
      </c>
    </row>
    <row r="467" spans="1:7" x14ac:dyDescent="0.3">
      <c r="A467" s="33">
        <v>46003.503657407404</v>
      </c>
      <c r="B467" s="34">
        <v>4660</v>
      </c>
      <c r="C467" s="34">
        <v>1.0049999999999999</v>
      </c>
      <c r="D467" s="34">
        <v>346.68939999999998</v>
      </c>
      <c r="E467" s="34">
        <v>348.11437999999998</v>
      </c>
      <c r="F467" s="34">
        <v>0</v>
      </c>
      <c r="G467" s="5">
        <f t="shared" si="7"/>
        <v>0.48151305555555557</v>
      </c>
    </row>
    <row r="468" spans="1:7" x14ac:dyDescent="0.3">
      <c r="A468" s="33">
        <v>46003.50377314815</v>
      </c>
      <c r="B468" s="34">
        <v>4670</v>
      </c>
      <c r="C468" s="34">
        <v>0.99870000000000003</v>
      </c>
      <c r="D468" s="34">
        <v>344.31450000000001</v>
      </c>
      <c r="E468" s="34">
        <v>344.36450000000002</v>
      </c>
      <c r="F468" s="34">
        <v>0</v>
      </c>
      <c r="G468" s="5">
        <f t="shared" si="7"/>
        <v>0.95972763888888879</v>
      </c>
    </row>
    <row r="469" spans="1:7" x14ac:dyDescent="0.3">
      <c r="A469" s="33">
        <v>46003.503888888888</v>
      </c>
      <c r="B469" s="34">
        <v>4680</v>
      </c>
      <c r="C469" s="34">
        <v>0.99250000000000005</v>
      </c>
      <c r="D469" s="34">
        <v>342.81450000000001</v>
      </c>
      <c r="E469" s="34">
        <v>339.98962</v>
      </c>
      <c r="F469" s="34">
        <v>0</v>
      </c>
      <c r="G469" s="5">
        <f t="shared" si="7"/>
        <v>0.95434583333333345</v>
      </c>
    </row>
    <row r="470" spans="1:7" x14ac:dyDescent="0.3">
      <c r="A470" s="33">
        <v>46003.504004629627</v>
      </c>
      <c r="B470" s="34">
        <v>4690</v>
      </c>
      <c r="C470" s="34">
        <v>0.99</v>
      </c>
      <c r="D470" s="34">
        <v>341.7396</v>
      </c>
      <c r="E470" s="34">
        <v>338.11469</v>
      </c>
      <c r="F470" s="34">
        <v>0</v>
      </c>
      <c r="G470" s="5">
        <f t="shared" si="7"/>
        <v>0.9507695833333335</v>
      </c>
    </row>
    <row r="471" spans="1:7" x14ac:dyDescent="0.3">
      <c r="A471" s="33">
        <v>46003.504120370373</v>
      </c>
      <c r="B471" s="34">
        <v>4700</v>
      </c>
      <c r="C471" s="34">
        <v>0.98619999999999997</v>
      </c>
      <c r="D471" s="34">
        <v>340.8646</v>
      </c>
      <c r="E471" s="34">
        <v>336.23975000000002</v>
      </c>
      <c r="F471" s="34">
        <v>0</v>
      </c>
      <c r="G471" s="5">
        <f t="shared" si="7"/>
        <v>0.94806138888888891</v>
      </c>
    </row>
    <row r="472" spans="1:7" x14ac:dyDescent="0.3">
      <c r="A472" s="33">
        <v>46003.504236111112</v>
      </c>
      <c r="B472" s="34">
        <v>4710</v>
      </c>
      <c r="C472" s="34">
        <v>0.98370000000000002</v>
      </c>
      <c r="D472" s="34">
        <v>340.16460000000001</v>
      </c>
      <c r="E472" s="34">
        <v>334.98978</v>
      </c>
      <c r="F472" s="34">
        <v>0</v>
      </c>
      <c r="G472" s="5">
        <f t="shared" si="7"/>
        <v>0.9458738888888889</v>
      </c>
    </row>
    <row r="473" spans="1:7" x14ac:dyDescent="0.3">
      <c r="A473" s="33">
        <v>46003.504351851851</v>
      </c>
      <c r="B473" s="34">
        <v>4720</v>
      </c>
      <c r="C473" s="34">
        <v>0.98250000000000004</v>
      </c>
      <c r="D473" s="34">
        <v>339.58960000000002</v>
      </c>
      <c r="E473" s="34">
        <v>333.73980999999998</v>
      </c>
      <c r="F473" s="34">
        <v>0</v>
      </c>
      <c r="G473" s="5">
        <f t="shared" si="7"/>
        <v>0.94410305555555574</v>
      </c>
    </row>
    <row r="474" spans="1:7" x14ac:dyDescent="0.3">
      <c r="A474" s="33">
        <v>46003.504467592589</v>
      </c>
      <c r="B474" s="34">
        <v>4730</v>
      </c>
      <c r="C474" s="34">
        <v>0.98119999999999996</v>
      </c>
      <c r="D474" s="34">
        <v>339.08960000000002</v>
      </c>
      <c r="E474" s="34">
        <v>332.48987</v>
      </c>
      <c r="F474" s="34">
        <v>0</v>
      </c>
      <c r="G474" s="5">
        <f t="shared" si="7"/>
        <v>0.94261000000000006</v>
      </c>
    </row>
    <row r="475" spans="1:7" x14ac:dyDescent="0.3">
      <c r="A475" s="33">
        <v>46003.504583333335</v>
      </c>
      <c r="B475" s="34">
        <v>4740</v>
      </c>
      <c r="C475" s="34">
        <v>0.98</v>
      </c>
      <c r="D475" s="34">
        <v>338.66460000000001</v>
      </c>
      <c r="E475" s="34">
        <v>331.86487</v>
      </c>
      <c r="F475" s="34">
        <v>0</v>
      </c>
      <c r="G475" s="5">
        <f t="shared" si="7"/>
        <v>0.94132527777777797</v>
      </c>
    </row>
    <row r="476" spans="1:7" x14ac:dyDescent="0.3">
      <c r="A476" s="33">
        <v>46003.504699074074</v>
      </c>
      <c r="B476" s="34">
        <v>4750</v>
      </c>
      <c r="C476" s="34">
        <v>0.97870000000000001</v>
      </c>
      <c r="D476" s="34">
        <v>338.2647</v>
      </c>
      <c r="E476" s="34">
        <v>330.61489999999998</v>
      </c>
      <c r="F476" s="34">
        <v>0</v>
      </c>
      <c r="G476" s="5">
        <f t="shared" si="7"/>
        <v>0.9401795833333334</v>
      </c>
    </row>
    <row r="477" spans="1:7" x14ac:dyDescent="0.3">
      <c r="A477" s="33">
        <v>46003.504814814813</v>
      </c>
      <c r="B477" s="34">
        <v>4760</v>
      </c>
      <c r="C477" s="34">
        <v>0.97870000000000001</v>
      </c>
      <c r="D477" s="34">
        <v>337.91469999999998</v>
      </c>
      <c r="E477" s="34">
        <v>330.61489999999998</v>
      </c>
      <c r="F477" s="34">
        <v>0</v>
      </c>
      <c r="G477" s="5">
        <f t="shared" si="7"/>
        <v>0.93913805555555563</v>
      </c>
    </row>
    <row r="478" spans="1:7" x14ac:dyDescent="0.3">
      <c r="A478" s="33">
        <v>46003.504930555559</v>
      </c>
      <c r="B478" s="34">
        <v>4770</v>
      </c>
      <c r="C478" s="34">
        <v>0.97619999999999996</v>
      </c>
      <c r="D478" s="34">
        <v>337.58969999999999</v>
      </c>
      <c r="E478" s="34">
        <v>329.98993000000002</v>
      </c>
      <c r="F478" s="34">
        <v>0</v>
      </c>
      <c r="G478" s="5">
        <f t="shared" si="7"/>
        <v>0.93820055555555559</v>
      </c>
    </row>
    <row r="479" spans="1:7" x14ac:dyDescent="0.3">
      <c r="A479" s="33">
        <v>46003.505046296297</v>
      </c>
      <c r="B479" s="34">
        <v>4780</v>
      </c>
      <c r="C479" s="34">
        <v>0.97619999999999996</v>
      </c>
      <c r="D479" s="34">
        <v>337.28969999999998</v>
      </c>
      <c r="E479" s="34">
        <v>329.98993000000002</v>
      </c>
      <c r="F479" s="34">
        <v>0</v>
      </c>
      <c r="G479" s="5">
        <f t="shared" si="7"/>
        <v>0.93733250000000012</v>
      </c>
    </row>
    <row r="480" spans="1:7" x14ac:dyDescent="0.3">
      <c r="A480" s="33">
        <v>46003.505162037036</v>
      </c>
      <c r="B480" s="34">
        <v>4790</v>
      </c>
      <c r="C480" s="34">
        <v>0.97499999999999998</v>
      </c>
      <c r="D480" s="34">
        <v>337.0147</v>
      </c>
      <c r="E480" s="34">
        <v>328.73996</v>
      </c>
      <c r="F480" s="34">
        <v>0</v>
      </c>
      <c r="G480" s="5">
        <f t="shared" si="7"/>
        <v>0.93653388888888889</v>
      </c>
    </row>
    <row r="481" spans="1:7" x14ac:dyDescent="0.3">
      <c r="A481" s="33">
        <v>46003.505277777775</v>
      </c>
      <c r="B481" s="34">
        <v>4800</v>
      </c>
      <c r="C481" s="34">
        <v>0.97499999999999998</v>
      </c>
      <c r="D481" s="34">
        <v>336.73970000000003</v>
      </c>
      <c r="E481" s="34">
        <v>328.11498999999998</v>
      </c>
      <c r="F481" s="34">
        <v>0</v>
      </c>
      <c r="G481" s="5">
        <f t="shared" si="7"/>
        <v>0.9357700000000001</v>
      </c>
    </row>
    <row r="482" spans="1:7" x14ac:dyDescent="0.3">
      <c r="A482" s="33">
        <v>46003.505393518521</v>
      </c>
      <c r="B482" s="34">
        <v>4810</v>
      </c>
      <c r="C482" s="34">
        <v>0.97370000000000001</v>
      </c>
      <c r="D482" s="34">
        <v>336.5147</v>
      </c>
      <c r="E482" s="34">
        <v>327.48998999999998</v>
      </c>
      <c r="F482" s="34">
        <v>0</v>
      </c>
      <c r="G482" s="5">
        <f t="shared" si="7"/>
        <v>0.93507555555555566</v>
      </c>
    </row>
    <row r="483" spans="1:7" x14ac:dyDescent="0.3">
      <c r="A483" s="33">
        <v>46003.505509259259</v>
      </c>
      <c r="B483" s="34">
        <v>4820</v>
      </c>
      <c r="C483" s="34">
        <v>0.97370000000000001</v>
      </c>
      <c r="D483" s="34">
        <v>336.31470000000002</v>
      </c>
      <c r="E483" s="34">
        <v>327.48998999999998</v>
      </c>
      <c r="F483" s="34">
        <v>0</v>
      </c>
      <c r="G483" s="5">
        <f t="shared" si="7"/>
        <v>0.9344852777777779</v>
      </c>
    </row>
    <row r="484" spans="1:7" x14ac:dyDescent="0.3">
      <c r="A484" s="33">
        <v>46003.505624999998</v>
      </c>
      <c r="B484" s="34">
        <v>4830</v>
      </c>
      <c r="C484" s="34">
        <v>0.97250000000000003</v>
      </c>
      <c r="D484" s="34">
        <v>336.08969999999999</v>
      </c>
      <c r="E484" s="34">
        <v>326.86502000000002</v>
      </c>
      <c r="F484" s="34">
        <v>0</v>
      </c>
      <c r="G484" s="5">
        <f t="shared" si="7"/>
        <v>0.93389500000000003</v>
      </c>
    </row>
    <row r="485" spans="1:7" x14ac:dyDescent="0.3">
      <c r="A485" s="33">
        <v>46003.505740740744</v>
      </c>
      <c r="B485" s="34">
        <v>4840</v>
      </c>
      <c r="C485" s="34">
        <v>0.97119999999999995</v>
      </c>
      <c r="D485" s="34">
        <v>335.8897</v>
      </c>
      <c r="E485" s="34">
        <v>326.86502000000002</v>
      </c>
      <c r="F485" s="34">
        <v>0</v>
      </c>
      <c r="G485" s="5">
        <f t="shared" si="7"/>
        <v>0.93330472222222216</v>
      </c>
    </row>
    <row r="486" spans="1:7" x14ac:dyDescent="0.3">
      <c r="A486" s="33">
        <v>46003.505856481483</v>
      </c>
      <c r="B486" s="34">
        <v>4850</v>
      </c>
      <c r="C486" s="34">
        <v>0.97119999999999995</v>
      </c>
      <c r="D486" s="34">
        <v>335.68979999999999</v>
      </c>
      <c r="E486" s="34">
        <v>325.61505</v>
      </c>
      <c r="F486" s="34">
        <v>0</v>
      </c>
      <c r="G486" s="5">
        <f t="shared" si="7"/>
        <v>0.93274930555555569</v>
      </c>
    </row>
    <row r="487" spans="1:7" x14ac:dyDescent="0.3">
      <c r="A487" s="33">
        <v>46003.505972222221</v>
      </c>
      <c r="B487" s="34">
        <v>4860</v>
      </c>
      <c r="C487" s="34">
        <v>0.97</v>
      </c>
      <c r="D487" s="34">
        <v>335.5147</v>
      </c>
      <c r="E487" s="34">
        <v>325.61505</v>
      </c>
      <c r="F487" s="34">
        <v>0</v>
      </c>
      <c r="G487" s="5">
        <f t="shared" si="7"/>
        <v>0.93222847222222238</v>
      </c>
    </row>
    <row r="488" spans="1:7" x14ac:dyDescent="0.3">
      <c r="A488" s="33">
        <v>46003.50608796296</v>
      </c>
      <c r="B488" s="34">
        <v>4870</v>
      </c>
      <c r="C488" s="34">
        <v>0.97</v>
      </c>
      <c r="D488" s="34">
        <v>335.33980000000003</v>
      </c>
      <c r="E488" s="34">
        <v>324.99007999999998</v>
      </c>
      <c r="F488" s="34">
        <v>0</v>
      </c>
      <c r="G488" s="5">
        <f t="shared" si="7"/>
        <v>0.93174236111111119</v>
      </c>
    </row>
    <row r="489" spans="1:7" x14ac:dyDescent="0.3">
      <c r="A489" s="33">
        <v>46003.506203703706</v>
      </c>
      <c r="B489" s="34">
        <v>4880</v>
      </c>
      <c r="C489" s="34">
        <v>0.97</v>
      </c>
      <c r="D489" s="34">
        <v>335.16480000000001</v>
      </c>
      <c r="E489" s="34">
        <v>324.36511000000002</v>
      </c>
      <c r="F489" s="34">
        <v>0</v>
      </c>
      <c r="G489" s="5">
        <f t="shared" si="7"/>
        <v>0.93125638888888895</v>
      </c>
    </row>
    <row r="490" spans="1:7" x14ac:dyDescent="0.3">
      <c r="A490" s="33">
        <v>46003.506319444445</v>
      </c>
      <c r="B490" s="34">
        <v>4890</v>
      </c>
      <c r="C490" s="34">
        <v>0.96879999999999999</v>
      </c>
      <c r="D490" s="34">
        <v>334.9898</v>
      </c>
      <c r="E490" s="34">
        <v>324.36511000000002</v>
      </c>
      <c r="F490" s="34">
        <v>0</v>
      </c>
      <c r="G490" s="5">
        <f t="shared" si="7"/>
        <v>0.93077027777777788</v>
      </c>
    </row>
    <row r="491" spans="1:7" x14ac:dyDescent="0.3">
      <c r="A491" s="33">
        <v>46003.506435185183</v>
      </c>
      <c r="B491" s="34">
        <v>4900</v>
      </c>
      <c r="C491" s="34">
        <v>0.96879999999999999</v>
      </c>
      <c r="D491" s="34">
        <v>334.81479999999999</v>
      </c>
      <c r="E491" s="34">
        <v>324.36511000000002</v>
      </c>
      <c r="F491" s="34">
        <v>0</v>
      </c>
      <c r="G491" s="5">
        <f t="shared" si="7"/>
        <v>0.93028416666666658</v>
      </c>
    </row>
    <row r="492" spans="1:7" x14ac:dyDescent="0.3">
      <c r="A492" s="33">
        <v>46003.506550925929</v>
      </c>
      <c r="B492" s="34">
        <v>4910</v>
      </c>
      <c r="C492" s="34">
        <v>0.96879999999999999</v>
      </c>
      <c r="D492" s="34">
        <v>334.63979999999998</v>
      </c>
      <c r="E492" s="34">
        <v>324.36511000000002</v>
      </c>
      <c r="F492" s="34">
        <v>0</v>
      </c>
      <c r="G492" s="5">
        <f t="shared" si="7"/>
        <v>0.92979805555555561</v>
      </c>
    </row>
    <row r="493" spans="1:7" x14ac:dyDescent="0.3">
      <c r="A493" s="33">
        <v>46003.506666666668</v>
      </c>
      <c r="B493" s="34">
        <v>4920</v>
      </c>
      <c r="C493" s="34">
        <v>0.96750000000000003</v>
      </c>
      <c r="D493" s="34">
        <v>334.4898</v>
      </c>
      <c r="E493" s="34">
        <v>323.74011000000002</v>
      </c>
      <c r="F493" s="34">
        <v>0</v>
      </c>
      <c r="G493" s="5">
        <f t="shared" si="7"/>
        <v>0.92934666666666665</v>
      </c>
    </row>
    <row r="494" spans="1:7" x14ac:dyDescent="0.3">
      <c r="A494" s="33">
        <v>46003.506782407407</v>
      </c>
      <c r="B494" s="34">
        <v>4930</v>
      </c>
      <c r="C494" s="34">
        <v>0.96750000000000003</v>
      </c>
      <c r="D494" s="34">
        <v>334.33980000000003</v>
      </c>
      <c r="E494" s="34">
        <v>323.11514</v>
      </c>
      <c r="F494" s="34">
        <v>0</v>
      </c>
      <c r="G494" s="5">
        <f t="shared" si="7"/>
        <v>0.92893000000000003</v>
      </c>
    </row>
    <row r="495" spans="1:7" x14ac:dyDescent="0.3">
      <c r="A495" s="33">
        <v>46003.506898148145</v>
      </c>
      <c r="B495" s="34">
        <v>4940</v>
      </c>
      <c r="C495" s="34">
        <v>0.96630000000000005</v>
      </c>
      <c r="D495" s="34">
        <v>334.16480000000001</v>
      </c>
      <c r="E495" s="34">
        <v>322.49016999999998</v>
      </c>
      <c r="F495" s="34">
        <v>0</v>
      </c>
      <c r="G495" s="5">
        <f t="shared" si="7"/>
        <v>0.92847861111111107</v>
      </c>
    </row>
    <row r="496" spans="1:7" x14ac:dyDescent="0.3">
      <c r="A496" s="33">
        <v>46003.507013888891</v>
      </c>
      <c r="B496" s="34">
        <v>4950</v>
      </c>
      <c r="C496" s="34">
        <v>0.96630000000000005</v>
      </c>
      <c r="D496" s="34">
        <v>333.9898</v>
      </c>
      <c r="E496" s="34">
        <v>322.49016999999998</v>
      </c>
      <c r="F496" s="34">
        <v>0</v>
      </c>
      <c r="G496" s="5">
        <f t="shared" si="7"/>
        <v>0.92799250000000011</v>
      </c>
    </row>
    <row r="497" spans="1:7" x14ac:dyDescent="0.3">
      <c r="A497" s="33">
        <v>46003.50712962963</v>
      </c>
      <c r="B497" s="34">
        <v>4960</v>
      </c>
      <c r="C497" s="34">
        <v>1.2124999999999999</v>
      </c>
      <c r="D497" s="34">
        <v>0</v>
      </c>
      <c r="E497" s="34">
        <v>0</v>
      </c>
      <c r="F497" s="34">
        <v>1</v>
      </c>
      <c r="G497" s="5">
        <f t="shared" si="7"/>
        <v>0.46387472222222226</v>
      </c>
    </row>
    <row r="498" spans="1:7" x14ac:dyDescent="0.3">
      <c r="A498" s="33">
        <v>46003.507245370369</v>
      </c>
      <c r="B498" s="34">
        <v>4970</v>
      </c>
      <c r="C498" s="34">
        <v>1.2212000000000001</v>
      </c>
      <c r="D498" s="34">
        <v>0</v>
      </c>
      <c r="E498" s="34">
        <v>0</v>
      </c>
      <c r="F498" s="34">
        <v>1</v>
      </c>
      <c r="G498" s="5">
        <f t="shared" si="7"/>
        <v>0</v>
      </c>
    </row>
    <row r="499" spans="1:7" x14ac:dyDescent="0.3">
      <c r="A499" s="33">
        <v>46003.507361111115</v>
      </c>
      <c r="B499" s="34">
        <v>4980</v>
      </c>
      <c r="C499" s="34">
        <v>1.2286999999999999</v>
      </c>
      <c r="D499" s="34">
        <v>0</v>
      </c>
      <c r="E499" s="34">
        <v>0</v>
      </c>
      <c r="F499" s="34">
        <v>1</v>
      </c>
      <c r="G499" s="5">
        <f t="shared" si="7"/>
        <v>0</v>
      </c>
    </row>
    <row r="500" spans="1:7" x14ac:dyDescent="0.3">
      <c r="A500" s="33">
        <v>46003.507476851853</v>
      </c>
      <c r="B500" s="34">
        <v>4990</v>
      </c>
      <c r="C500" s="34">
        <v>1.2324999999999999</v>
      </c>
      <c r="D500" s="34">
        <v>0</v>
      </c>
      <c r="E500" s="34">
        <v>0</v>
      </c>
      <c r="F500" s="34">
        <v>1</v>
      </c>
      <c r="G500" s="5">
        <f t="shared" si="7"/>
        <v>0</v>
      </c>
    </row>
    <row r="501" spans="1:7" x14ac:dyDescent="0.3">
      <c r="A501" s="33">
        <v>46003.507592592592</v>
      </c>
      <c r="B501" s="34">
        <v>5000</v>
      </c>
      <c r="C501" s="34">
        <v>1.2362</v>
      </c>
      <c r="D501" s="34">
        <v>0</v>
      </c>
      <c r="E501" s="34">
        <v>0</v>
      </c>
      <c r="F501" s="34">
        <v>1</v>
      </c>
      <c r="G501" s="5">
        <f t="shared" si="7"/>
        <v>0</v>
      </c>
    </row>
    <row r="502" spans="1:7" x14ac:dyDescent="0.3">
      <c r="A502" s="33">
        <v>46003.507708333331</v>
      </c>
      <c r="B502" s="34">
        <v>5010</v>
      </c>
      <c r="C502" s="34">
        <v>1.2386999999999999</v>
      </c>
      <c r="D502" s="34">
        <v>0</v>
      </c>
      <c r="E502" s="34">
        <v>0</v>
      </c>
      <c r="F502" s="34">
        <v>1</v>
      </c>
      <c r="G502" s="5">
        <f t="shared" si="7"/>
        <v>0</v>
      </c>
    </row>
    <row r="503" spans="1:7" x14ac:dyDescent="0.3">
      <c r="A503" s="33">
        <v>46003.507824074077</v>
      </c>
      <c r="B503" s="34">
        <v>5020</v>
      </c>
      <c r="C503" s="34">
        <v>1.2424999999999999</v>
      </c>
      <c r="D503" s="34">
        <v>0</v>
      </c>
      <c r="E503" s="34">
        <v>0</v>
      </c>
      <c r="F503" s="34">
        <v>1</v>
      </c>
      <c r="G503" s="5">
        <f t="shared" si="7"/>
        <v>0</v>
      </c>
    </row>
    <row r="504" spans="1:7" x14ac:dyDescent="0.3">
      <c r="A504" s="33">
        <v>46003.507939814815</v>
      </c>
      <c r="B504" s="34">
        <v>5030</v>
      </c>
      <c r="C504" s="34">
        <v>1.2450000000000001</v>
      </c>
      <c r="D504" s="34">
        <v>0</v>
      </c>
      <c r="E504" s="34">
        <v>0</v>
      </c>
      <c r="F504" s="34">
        <v>1</v>
      </c>
      <c r="G504" s="5">
        <f t="shared" si="7"/>
        <v>0</v>
      </c>
    </row>
    <row r="505" spans="1:7" x14ac:dyDescent="0.3">
      <c r="A505" s="33">
        <v>46003.508055555554</v>
      </c>
      <c r="B505" s="34">
        <v>5040</v>
      </c>
      <c r="C505" s="34">
        <v>1.2475000000000001</v>
      </c>
      <c r="D505" s="34">
        <v>0</v>
      </c>
      <c r="E505" s="34">
        <v>0</v>
      </c>
      <c r="F505" s="34">
        <v>1</v>
      </c>
      <c r="G505" s="5">
        <f t="shared" si="7"/>
        <v>0</v>
      </c>
    </row>
    <row r="506" spans="1:7" x14ac:dyDescent="0.3">
      <c r="A506" s="33">
        <v>46003.508171296293</v>
      </c>
      <c r="B506" s="34">
        <v>5050</v>
      </c>
      <c r="C506" s="34">
        <v>0.99370000000000003</v>
      </c>
      <c r="D506" s="34">
        <v>343.11450000000002</v>
      </c>
      <c r="E506" s="34">
        <v>341.23959000000002</v>
      </c>
      <c r="F506" s="34">
        <v>0</v>
      </c>
      <c r="G506" s="5">
        <f t="shared" si="7"/>
        <v>0.47654791666666674</v>
      </c>
    </row>
    <row r="507" spans="1:7" x14ac:dyDescent="0.3">
      <c r="A507" s="33">
        <v>46003.508287037039</v>
      </c>
      <c r="B507" s="34">
        <v>5060</v>
      </c>
      <c r="C507" s="34">
        <v>0.98619999999999997</v>
      </c>
      <c r="D507" s="34">
        <v>340.63959999999997</v>
      </c>
      <c r="E507" s="34">
        <v>335.61475000000002</v>
      </c>
      <c r="F507" s="34">
        <v>0</v>
      </c>
      <c r="G507" s="5">
        <f t="shared" si="7"/>
        <v>0.94965847222222222</v>
      </c>
    </row>
    <row r="508" spans="1:7" x14ac:dyDescent="0.3">
      <c r="A508" s="33">
        <v>46003.508402777778</v>
      </c>
      <c r="B508" s="34">
        <v>5070</v>
      </c>
      <c r="C508" s="34">
        <v>0.98119999999999996</v>
      </c>
      <c r="D508" s="34">
        <v>339.11470000000003</v>
      </c>
      <c r="E508" s="34">
        <v>332.48987</v>
      </c>
      <c r="F508" s="34">
        <v>0</v>
      </c>
      <c r="G508" s="5">
        <f t="shared" si="7"/>
        <v>0.94410319444444457</v>
      </c>
    </row>
    <row r="509" spans="1:7" x14ac:dyDescent="0.3">
      <c r="A509" s="33">
        <v>46003.508518518516</v>
      </c>
      <c r="B509" s="34">
        <v>5080</v>
      </c>
      <c r="C509" s="34">
        <v>0.97870000000000001</v>
      </c>
      <c r="D509" s="34">
        <v>338.0147</v>
      </c>
      <c r="E509" s="34">
        <v>330.61489999999998</v>
      </c>
      <c r="F509" s="34">
        <v>0</v>
      </c>
      <c r="G509" s="5">
        <f t="shared" si="7"/>
        <v>0.94045750000000006</v>
      </c>
    </row>
    <row r="510" spans="1:7" x14ac:dyDescent="0.3">
      <c r="A510" s="33">
        <v>46003.508634259262</v>
      </c>
      <c r="B510" s="34">
        <v>5090</v>
      </c>
      <c r="C510" s="34">
        <v>0.97499999999999998</v>
      </c>
      <c r="D510" s="34">
        <v>337.1397</v>
      </c>
      <c r="E510" s="34">
        <v>328.73996</v>
      </c>
      <c r="F510" s="34">
        <v>0</v>
      </c>
      <c r="G510" s="5">
        <f t="shared" si="7"/>
        <v>0.93771444444444452</v>
      </c>
    </row>
    <row r="511" spans="1:7" x14ac:dyDescent="0.3">
      <c r="A511" s="33">
        <v>46003.508750000001</v>
      </c>
      <c r="B511" s="34">
        <v>5100</v>
      </c>
      <c r="C511" s="34">
        <v>0.97370000000000001</v>
      </c>
      <c r="D511" s="34">
        <v>336.43970000000002</v>
      </c>
      <c r="E511" s="34">
        <v>327.48998999999998</v>
      </c>
      <c r="F511" s="34">
        <v>0</v>
      </c>
      <c r="G511" s="5">
        <f t="shared" si="7"/>
        <v>0.93552694444444462</v>
      </c>
    </row>
    <row r="512" spans="1:7" x14ac:dyDescent="0.3">
      <c r="A512" s="33">
        <v>46003.50886574074</v>
      </c>
      <c r="B512" s="34">
        <v>5110</v>
      </c>
      <c r="C512" s="34">
        <v>0.97119999999999995</v>
      </c>
      <c r="D512" s="34">
        <v>335.83980000000003</v>
      </c>
      <c r="E512" s="34">
        <v>326.86502000000002</v>
      </c>
      <c r="F512" s="34">
        <v>0</v>
      </c>
      <c r="G512" s="5">
        <f t="shared" si="7"/>
        <v>0.93372152777777795</v>
      </c>
    </row>
    <row r="513" spans="1:7" x14ac:dyDescent="0.3">
      <c r="A513" s="33">
        <v>46003.508981481478</v>
      </c>
      <c r="B513" s="34">
        <v>5120</v>
      </c>
      <c r="C513" s="34">
        <v>0.97</v>
      </c>
      <c r="D513" s="34">
        <v>335.33980000000003</v>
      </c>
      <c r="E513" s="34">
        <v>325.61505</v>
      </c>
      <c r="F513" s="34">
        <v>0</v>
      </c>
      <c r="G513" s="5">
        <f t="shared" si="7"/>
        <v>0.93219388888888899</v>
      </c>
    </row>
    <row r="514" spans="1:7" x14ac:dyDescent="0.3">
      <c r="A514" s="33">
        <v>46003.509097222224</v>
      </c>
      <c r="B514" s="34">
        <v>5130</v>
      </c>
      <c r="C514" s="34">
        <v>0.96879999999999999</v>
      </c>
      <c r="D514" s="34">
        <v>334.91480000000001</v>
      </c>
      <c r="E514" s="34">
        <v>324.36511000000002</v>
      </c>
      <c r="F514" s="34">
        <v>0</v>
      </c>
      <c r="G514" s="5">
        <f t="shared" si="7"/>
        <v>0.93090916666666668</v>
      </c>
    </row>
    <row r="515" spans="1:7" x14ac:dyDescent="0.3">
      <c r="A515" s="33">
        <v>46003.509212962963</v>
      </c>
      <c r="B515" s="34">
        <v>5140</v>
      </c>
      <c r="C515" s="34">
        <v>0.96750000000000003</v>
      </c>
      <c r="D515" s="34">
        <v>334.51479999999998</v>
      </c>
      <c r="E515" s="34">
        <v>323.74011000000002</v>
      </c>
      <c r="F515" s="34">
        <v>0</v>
      </c>
      <c r="G515" s="5">
        <f t="shared" si="7"/>
        <v>0.92976333333333328</v>
      </c>
    </row>
    <row r="516" spans="1:7" x14ac:dyDescent="0.3">
      <c r="A516" s="33">
        <v>46003.509328703702</v>
      </c>
      <c r="B516" s="34">
        <v>5150</v>
      </c>
      <c r="C516" s="34">
        <v>0.96630000000000005</v>
      </c>
      <c r="D516" s="34">
        <v>334.16480000000001</v>
      </c>
      <c r="E516" s="34">
        <v>322.49016999999998</v>
      </c>
      <c r="F516" s="34">
        <v>0</v>
      </c>
      <c r="G516" s="5">
        <f t="shared" si="7"/>
        <v>0.92872166666666667</v>
      </c>
    </row>
    <row r="517" spans="1:7" x14ac:dyDescent="0.3">
      <c r="A517" s="33">
        <v>46003.509444444448</v>
      </c>
      <c r="B517" s="34">
        <v>5160</v>
      </c>
      <c r="C517" s="34">
        <v>0.96499999999999997</v>
      </c>
      <c r="D517" s="34">
        <v>333.8648</v>
      </c>
      <c r="E517" s="34">
        <v>321.86516999999998</v>
      </c>
      <c r="F517" s="34">
        <v>0</v>
      </c>
      <c r="G517" s="5">
        <f t="shared" si="7"/>
        <v>0.92781888888888897</v>
      </c>
    </row>
    <row r="518" spans="1:7" x14ac:dyDescent="0.3">
      <c r="A518" s="33">
        <v>46003.509560185186</v>
      </c>
      <c r="B518" s="34">
        <v>5170</v>
      </c>
      <c r="C518" s="34">
        <v>0.96379999999999999</v>
      </c>
      <c r="D518" s="34">
        <v>333.56479999999999</v>
      </c>
      <c r="E518" s="34">
        <v>321.24020000000002</v>
      </c>
      <c r="F518" s="34">
        <v>0</v>
      </c>
      <c r="G518" s="5">
        <f t="shared" si="7"/>
        <v>0.92698555555555551</v>
      </c>
    </row>
    <row r="519" spans="1:7" x14ac:dyDescent="0.3">
      <c r="A519" s="33">
        <v>46003.509675925925</v>
      </c>
      <c r="B519" s="34">
        <v>5180</v>
      </c>
      <c r="C519" s="34">
        <v>0.96379999999999999</v>
      </c>
      <c r="D519" s="34">
        <v>333.28980000000001</v>
      </c>
      <c r="E519" s="34">
        <v>321.24020000000002</v>
      </c>
      <c r="F519" s="34">
        <v>0</v>
      </c>
      <c r="G519" s="5">
        <f t="shared" ref="G519:G582" si="8">($B$2/3600)*((D518+D519)/2)</f>
        <v>0.92618694444444449</v>
      </c>
    </row>
    <row r="520" spans="1:7" x14ac:dyDescent="0.3">
      <c r="A520" s="33">
        <v>46003.509791666664</v>
      </c>
      <c r="B520" s="34">
        <v>5190</v>
      </c>
      <c r="C520" s="34">
        <v>0.96250000000000002</v>
      </c>
      <c r="D520" s="34">
        <v>333.01479999999998</v>
      </c>
      <c r="E520" s="34">
        <v>320.61520000000002</v>
      </c>
      <c r="F520" s="34">
        <v>0</v>
      </c>
      <c r="G520" s="5">
        <f t="shared" si="8"/>
        <v>0.92542305555555548</v>
      </c>
    </row>
    <row r="521" spans="1:7" x14ac:dyDescent="0.3">
      <c r="A521" s="33">
        <v>46003.50990740741</v>
      </c>
      <c r="B521" s="34">
        <v>5200</v>
      </c>
      <c r="C521" s="34">
        <v>0.96250000000000002</v>
      </c>
      <c r="D521" s="34">
        <v>332.78980000000001</v>
      </c>
      <c r="E521" s="34">
        <v>319.99023</v>
      </c>
      <c r="F521" s="34">
        <v>0</v>
      </c>
      <c r="G521" s="5">
        <f t="shared" si="8"/>
        <v>0.92472861111111104</v>
      </c>
    </row>
    <row r="522" spans="1:7" x14ac:dyDescent="0.3">
      <c r="A522" s="33">
        <v>46003.510023148148</v>
      </c>
      <c r="B522" s="34">
        <v>5210</v>
      </c>
      <c r="C522" s="34">
        <v>0.96130000000000004</v>
      </c>
      <c r="D522" s="34">
        <v>332.58980000000003</v>
      </c>
      <c r="E522" s="34">
        <v>319.99023</v>
      </c>
      <c r="F522" s="34">
        <v>0</v>
      </c>
      <c r="G522" s="5">
        <f t="shared" si="8"/>
        <v>0.92413833333333339</v>
      </c>
    </row>
    <row r="523" spans="1:7" x14ac:dyDescent="0.3">
      <c r="A523" s="33">
        <v>46003.510138888887</v>
      </c>
      <c r="B523" s="34">
        <v>5220</v>
      </c>
      <c r="C523" s="34">
        <v>0.96</v>
      </c>
      <c r="D523" s="34">
        <v>332.38979999999998</v>
      </c>
      <c r="E523" s="34">
        <v>319.36525999999998</v>
      </c>
      <c r="F523" s="34">
        <v>0</v>
      </c>
      <c r="G523" s="5">
        <f t="shared" si="8"/>
        <v>0.92358277777777786</v>
      </c>
    </row>
    <row r="524" spans="1:7" x14ac:dyDescent="0.3">
      <c r="A524" s="33">
        <v>46003.510254629633</v>
      </c>
      <c r="B524" s="34">
        <v>5230</v>
      </c>
      <c r="C524" s="34">
        <v>0.96</v>
      </c>
      <c r="D524" s="34">
        <v>332.21480000000003</v>
      </c>
      <c r="E524" s="34">
        <v>318.74025999999998</v>
      </c>
      <c r="F524" s="34">
        <v>0</v>
      </c>
      <c r="G524" s="5">
        <f t="shared" si="8"/>
        <v>0.92306194444444445</v>
      </c>
    </row>
    <row r="525" spans="1:7" x14ac:dyDescent="0.3">
      <c r="A525" s="33">
        <v>46003.510370370372</v>
      </c>
      <c r="B525" s="34">
        <v>5240</v>
      </c>
      <c r="C525" s="34">
        <v>0.9587</v>
      </c>
      <c r="D525" s="34">
        <v>332.03989999999999</v>
      </c>
      <c r="E525" s="34">
        <v>318.74025999999998</v>
      </c>
      <c r="F525" s="34">
        <v>0</v>
      </c>
      <c r="G525" s="5">
        <f t="shared" si="8"/>
        <v>0.92257597222222221</v>
      </c>
    </row>
    <row r="526" spans="1:7" x14ac:dyDescent="0.3">
      <c r="A526" s="33">
        <v>46003.51048611111</v>
      </c>
      <c r="B526" s="34">
        <v>5250</v>
      </c>
      <c r="C526" s="34">
        <v>0.96250000000000002</v>
      </c>
      <c r="D526" s="34">
        <v>331.86489999999998</v>
      </c>
      <c r="E526" s="34">
        <v>319.36525999999998</v>
      </c>
      <c r="F526" s="34">
        <v>0</v>
      </c>
      <c r="G526" s="5">
        <f t="shared" si="8"/>
        <v>0.92209000000000008</v>
      </c>
    </row>
    <row r="527" spans="1:7" x14ac:dyDescent="0.3">
      <c r="A527" s="33">
        <v>46003.510601851849</v>
      </c>
      <c r="B527" s="34">
        <v>5260</v>
      </c>
      <c r="C527" s="34">
        <v>0.96130000000000004</v>
      </c>
      <c r="D527" s="34">
        <v>331.68990000000002</v>
      </c>
      <c r="E527" s="34">
        <v>318.74025999999998</v>
      </c>
      <c r="F527" s="34">
        <v>0</v>
      </c>
      <c r="G527" s="5">
        <f t="shared" si="8"/>
        <v>0.92160388888888889</v>
      </c>
    </row>
    <row r="528" spans="1:7" x14ac:dyDescent="0.3">
      <c r="A528" s="33">
        <v>46003.510717592595</v>
      </c>
      <c r="B528" s="34">
        <v>5270</v>
      </c>
      <c r="C528" s="34">
        <v>0.96130000000000004</v>
      </c>
      <c r="D528" s="34">
        <v>331.51490000000001</v>
      </c>
      <c r="E528" s="34">
        <v>318.74025999999998</v>
      </c>
      <c r="F528" s="34">
        <v>0</v>
      </c>
      <c r="G528" s="5">
        <f t="shared" si="8"/>
        <v>0.92111777777777781</v>
      </c>
    </row>
    <row r="529" spans="1:7" x14ac:dyDescent="0.3">
      <c r="A529" s="33">
        <v>46003.510833333334</v>
      </c>
      <c r="B529" s="34">
        <v>5280</v>
      </c>
      <c r="C529" s="34">
        <v>0.95750000000000002</v>
      </c>
      <c r="D529" s="34">
        <v>331.36489999999998</v>
      </c>
      <c r="E529" s="34">
        <v>317.49029999999999</v>
      </c>
      <c r="F529" s="34">
        <v>0</v>
      </c>
      <c r="G529" s="5">
        <f t="shared" si="8"/>
        <v>0.92066638888888885</v>
      </c>
    </row>
    <row r="530" spans="1:7" x14ac:dyDescent="0.3">
      <c r="A530" s="33">
        <v>46003.510949074072</v>
      </c>
      <c r="B530" s="34">
        <v>5290</v>
      </c>
      <c r="C530" s="34">
        <v>0.96</v>
      </c>
      <c r="D530" s="34">
        <v>331.2149</v>
      </c>
      <c r="E530" s="34">
        <v>317.49029999999999</v>
      </c>
      <c r="F530" s="34">
        <v>0</v>
      </c>
      <c r="G530" s="5">
        <f t="shared" si="8"/>
        <v>0.92024972222222223</v>
      </c>
    </row>
    <row r="531" spans="1:7" x14ac:dyDescent="0.3">
      <c r="A531" s="33">
        <v>46003.511064814818</v>
      </c>
      <c r="B531" s="34">
        <v>5300</v>
      </c>
      <c r="C531" s="34">
        <v>0.96</v>
      </c>
      <c r="D531" s="34">
        <v>331.03989999999999</v>
      </c>
      <c r="E531" s="34">
        <v>317.49029999999999</v>
      </c>
      <c r="F531" s="34">
        <v>0</v>
      </c>
      <c r="G531" s="5">
        <f t="shared" si="8"/>
        <v>0.91979833333333327</v>
      </c>
    </row>
    <row r="532" spans="1:7" x14ac:dyDescent="0.3">
      <c r="A532" s="33">
        <v>46003.511180555557</v>
      </c>
      <c r="B532" s="34">
        <v>5310</v>
      </c>
      <c r="C532" s="34">
        <v>0.9587</v>
      </c>
      <c r="D532" s="34">
        <v>330.88990000000001</v>
      </c>
      <c r="E532" s="34">
        <v>317.49029999999999</v>
      </c>
      <c r="F532" s="34">
        <v>0</v>
      </c>
      <c r="G532" s="5">
        <f t="shared" si="8"/>
        <v>0.91934694444444442</v>
      </c>
    </row>
    <row r="533" spans="1:7" x14ac:dyDescent="0.3">
      <c r="A533" s="33">
        <v>46003.511296296296</v>
      </c>
      <c r="B533" s="34">
        <v>5320</v>
      </c>
      <c r="C533" s="34">
        <v>0.9587</v>
      </c>
      <c r="D533" s="34">
        <v>330.73989999999998</v>
      </c>
      <c r="E533" s="34">
        <v>317.49029999999999</v>
      </c>
      <c r="F533" s="34">
        <v>0</v>
      </c>
      <c r="G533" s="5">
        <f t="shared" si="8"/>
        <v>0.91893027777777769</v>
      </c>
    </row>
    <row r="534" spans="1:7" x14ac:dyDescent="0.3">
      <c r="A534" s="33">
        <v>46003.511412037034</v>
      </c>
      <c r="B534" s="34">
        <v>5330</v>
      </c>
      <c r="C534" s="34">
        <v>0.9587</v>
      </c>
      <c r="D534" s="34">
        <v>330.61489999999998</v>
      </c>
      <c r="E534" s="34">
        <v>316.86532999999997</v>
      </c>
      <c r="F534" s="34">
        <v>0</v>
      </c>
      <c r="G534" s="5">
        <f t="shared" si="8"/>
        <v>0.9185483333333333</v>
      </c>
    </row>
    <row r="535" spans="1:7" x14ac:dyDescent="0.3">
      <c r="A535" s="33">
        <v>46003.51152777778</v>
      </c>
      <c r="B535" s="34">
        <v>5340</v>
      </c>
      <c r="C535" s="34">
        <v>0.95750000000000002</v>
      </c>
      <c r="D535" s="34">
        <v>330.4649</v>
      </c>
      <c r="E535" s="34">
        <v>316.24036000000001</v>
      </c>
      <c r="F535" s="34">
        <v>0</v>
      </c>
      <c r="G535" s="5">
        <f t="shared" si="8"/>
        <v>0.91816638888888891</v>
      </c>
    </row>
    <row r="536" spans="1:7" x14ac:dyDescent="0.3">
      <c r="A536" s="33">
        <v>46003.511643518519</v>
      </c>
      <c r="B536" s="34">
        <v>5350</v>
      </c>
      <c r="C536" s="34">
        <v>1.2038</v>
      </c>
      <c r="D536" s="34">
        <v>0</v>
      </c>
      <c r="E536" s="34">
        <v>0</v>
      </c>
      <c r="F536" s="34">
        <v>1</v>
      </c>
      <c r="G536" s="5">
        <f t="shared" si="8"/>
        <v>0.45897902777777777</v>
      </c>
    </row>
    <row r="537" spans="1:7" x14ac:dyDescent="0.3">
      <c r="A537" s="33">
        <v>46003.511759259258</v>
      </c>
      <c r="B537" s="34">
        <v>5360</v>
      </c>
      <c r="C537" s="34">
        <v>1.2138</v>
      </c>
      <c r="D537" s="34">
        <v>0</v>
      </c>
      <c r="E537" s="34">
        <v>0</v>
      </c>
      <c r="F537" s="34">
        <v>1</v>
      </c>
      <c r="G537" s="5">
        <f t="shared" si="8"/>
        <v>0</v>
      </c>
    </row>
    <row r="538" spans="1:7" x14ac:dyDescent="0.3">
      <c r="A538" s="33">
        <v>46003.511886574073</v>
      </c>
      <c r="B538" s="34">
        <v>5370</v>
      </c>
      <c r="C538" s="34">
        <v>1.2212000000000001</v>
      </c>
      <c r="D538" s="34">
        <v>0</v>
      </c>
      <c r="E538" s="34">
        <v>0</v>
      </c>
      <c r="F538" s="34">
        <v>1</v>
      </c>
      <c r="G538" s="5">
        <f t="shared" si="8"/>
        <v>0</v>
      </c>
    </row>
    <row r="539" spans="1:7" x14ac:dyDescent="0.3">
      <c r="A539" s="33">
        <v>46003.512002314812</v>
      </c>
      <c r="B539" s="34">
        <v>5380</v>
      </c>
      <c r="C539" s="34">
        <v>1.2250000000000001</v>
      </c>
      <c r="D539" s="34">
        <v>0</v>
      </c>
      <c r="E539" s="34">
        <v>0</v>
      </c>
      <c r="F539" s="34">
        <v>1</v>
      </c>
      <c r="G539" s="5">
        <f t="shared" si="8"/>
        <v>0</v>
      </c>
    </row>
    <row r="540" spans="1:7" x14ac:dyDescent="0.3">
      <c r="A540" s="33">
        <v>46003.512118055558</v>
      </c>
      <c r="B540" s="34">
        <v>5390</v>
      </c>
      <c r="C540" s="34">
        <v>1.23</v>
      </c>
      <c r="D540" s="34">
        <v>0</v>
      </c>
      <c r="E540" s="34">
        <v>0</v>
      </c>
      <c r="F540" s="34">
        <v>1</v>
      </c>
      <c r="G540" s="5">
        <f t="shared" si="8"/>
        <v>0</v>
      </c>
    </row>
    <row r="541" spans="1:7" x14ac:dyDescent="0.3">
      <c r="A541" s="33">
        <v>46003.512233796297</v>
      </c>
      <c r="B541" s="34">
        <v>5400</v>
      </c>
      <c r="C541" s="34">
        <v>1.2324999999999999</v>
      </c>
      <c r="D541" s="34">
        <v>0</v>
      </c>
      <c r="E541" s="34">
        <v>0</v>
      </c>
      <c r="F541" s="34">
        <v>1</v>
      </c>
      <c r="G541" s="5">
        <f t="shared" si="8"/>
        <v>0</v>
      </c>
    </row>
    <row r="542" spans="1:7" x14ac:dyDescent="0.3">
      <c r="A542" s="33">
        <v>46003.512349537035</v>
      </c>
      <c r="B542" s="34">
        <v>5410</v>
      </c>
      <c r="C542" s="34">
        <v>1.2350000000000001</v>
      </c>
      <c r="D542" s="34">
        <v>0</v>
      </c>
      <c r="E542" s="34">
        <v>0</v>
      </c>
      <c r="F542" s="34">
        <v>1</v>
      </c>
      <c r="G542" s="5">
        <f t="shared" si="8"/>
        <v>0</v>
      </c>
    </row>
    <row r="543" spans="1:7" x14ac:dyDescent="0.3">
      <c r="A543" s="33">
        <v>46003.512465277781</v>
      </c>
      <c r="B543" s="34">
        <v>5420</v>
      </c>
      <c r="C543" s="34">
        <v>1.2386999999999999</v>
      </c>
      <c r="D543" s="34">
        <v>0</v>
      </c>
      <c r="E543" s="34">
        <v>0</v>
      </c>
      <c r="F543" s="34">
        <v>1</v>
      </c>
      <c r="G543" s="5">
        <f t="shared" si="8"/>
        <v>0</v>
      </c>
    </row>
    <row r="544" spans="1:7" x14ac:dyDescent="0.3">
      <c r="A544" s="33">
        <v>46003.51258101852</v>
      </c>
      <c r="B544" s="34">
        <v>5430</v>
      </c>
      <c r="C544" s="34">
        <v>1.24</v>
      </c>
      <c r="D544" s="34">
        <v>0</v>
      </c>
      <c r="E544" s="34">
        <v>0</v>
      </c>
      <c r="F544" s="34">
        <v>1</v>
      </c>
      <c r="G544" s="5">
        <f t="shared" si="8"/>
        <v>0</v>
      </c>
    </row>
    <row r="545" spans="1:7" x14ac:dyDescent="0.3">
      <c r="A545" s="33">
        <v>46003.512696759259</v>
      </c>
      <c r="B545" s="34">
        <v>5440</v>
      </c>
      <c r="C545" s="34">
        <v>0.98370000000000002</v>
      </c>
      <c r="D545" s="34">
        <v>339.76459999999997</v>
      </c>
      <c r="E545" s="34">
        <v>333.73980999999998</v>
      </c>
      <c r="F545" s="34">
        <v>0</v>
      </c>
      <c r="G545" s="5">
        <f t="shared" si="8"/>
        <v>0.47189527777777773</v>
      </c>
    </row>
    <row r="546" spans="1:7" x14ac:dyDescent="0.3">
      <c r="A546" s="33">
        <v>46003.512812499997</v>
      </c>
      <c r="B546" s="34">
        <v>5450</v>
      </c>
      <c r="C546" s="34">
        <v>0.97619999999999996</v>
      </c>
      <c r="D546" s="34">
        <v>337.2647</v>
      </c>
      <c r="E546" s="34">
        <v>329.36496</v>
      </c>
      <c r="F546" s="34">
        <v>0</v>
      </c>
      <c r="G546" s="5">
        <f t="shared" si="8"/>
        <v>0.9403184722222222</v>
      </c>
    </row>
    <row r="547" spans="1:7" x14ac:dyDescent="0.3">
      <c r="A547" s="33">
        <v>46003.512928240743</v>
      </c>
      <c r="B547" s="34">
        <v>5460</v>
      </c>
      <c r="C547" s="34">
        <v>0.97119999999999995</v>
      </c>
      <c r="D547" s="34">
        <v>335.71480000000003</v>
      </c>
      <c r="E547" s="34">
        <v>325.61505</v>
      </c>
      <c r="F547" s="34">
        <v>0</v>
      </c>
      <c r="G547" s="5">
        <f t="shared" si="8"/>
        <v>0.9346937500000001</v>
      </c>
    </row>
    <row r="548" spans="1:7" x14ac:dyDescent="0.3">
      <c r="A548" s="33">
        <v>46003.513043981482</v>
      </c>
      <c r="B548" s="34">
        <v>5470</v>
      </c>
      <c r="C548" s="34">
        <v>0.96750000000000003</v>
      </c>
      <c r="D548" s="34">
        <v>334.58980000000003</v>
      </c>
      <c r="E548" s="34">
        <v>323.74011000000002</v>
      </c>
      <c r="F548" s="34">
        <v>0</v>
      </c>
      <c r="G548" s="5">
        <f t="shared" si="8"/>
        <v>0.93097861111111124</v>
      </c>
    </row>
    <row r="549" spans="1:7" x14ac:dyDescent="0.3">
      <c r="A549" s="33">
        <v>46003.513159722221</v>
      </c>
      <c r="B549" s="34">
        <v>5480</v>
      </c>
      <c r="C549" s="34">
        <v>0.96499999999999997</v>
      </c>
      <c r="D549" s="34">
        <v>333.68979999999999</v>
      </c>
      <c r="E549" s="34">
        <v>321.24020000000002</v>
      </c>
      <c r="F549" s="34">
        <v>0</v>
      </c>
      <c r="G549" s="5">
        <f t="shared" si="8"/>
        <v>0.92816611111111125</v>
      </c>
    </row>
    <row r="550" spans="1:7" x14ac:dyDescent="0.3">
      <c r="A550" s="33">
        <v>46003.513275462959</v>
      </c>
      <c r="B550" s="34">
        <v>5490</v>
      </c>
      <c r="C550" s="34">
        <v>0.96250000000000002</v>
      </c>
      <c r="D550" s="34">
        <v>332.96480000000003</v>
      </c>
      <c r="E550" s="34">
        <v>320.61520000000002</v>
      </c>
      <c r="F550" s="34">
        <v>0</v>
      </c>
      <c r="G550" s="5">
        <f t="shared" si="8"/>
        <v>0.92590916666666678</v>
      </c>
    </row>
    <row r="551" spans="1:7" x14ac:dyDescent="0.3">
      <c r="A551" s="33">
        <v>46003.513391203705</v>
      </c>
      <c r="B551" s="34">
        <v>5500</v>
      </c>
      <c r="C551" s="34">
        <v>0.96</v>
      </c>
      <c r="D551" s="34">
        <v>332.3648</v>
      </c>
      <c r="E551" s="34">
        <v>319.36525999999998</v>
      </c>
      <c r="F551" s="34">
        <v>0</v>
      </c>
      <c r="G551" s="5">
        <f t="shared" si="8"/>
        <v>0.92406888888888894</v>
      </c>
    </row>
    <row r="552" spans="1:7" x14ac:dyDescent="0.3">
      <c r="A552" s="33">
        <v>46003.513506944444</v>
      </c>
      <c r="B552" s="34">
        <v>5510</v>
      </c>
      <c r="C552" s="34">
        <v>0.96130000000000004</v>
      </c>
      <c r="D552" s="34">
        <v>331.86489999999998</v>
      </c>
      <c r="E552" s="34">
        <v>319.36525999999998</v>
      </c>
      <c r="F552" s="34">
        <v>0</v>
      </c>
      <c r="G552" s="5">
        <f t="shared" si="8"/>
        <v>0.92254124999999998</v>
      </c>
    </row>
    <row r="553" spans="1:7" x14ac:dyDescent="0.3">
      <c r="A553" s="33">
        <v>46003.513622685183</v>
      </c>
      <c r="B553" s="34">
        <v>5520</v>
      </c>
      <c r="C553" s="34">
        <v>0.95750000000000002</v>
      </c>
      <c r="D553" s="34">
        <v>331.41489999999999</v>
      </c>
      <c r="E553" s="34">
        <v>316.86532999999997</v>
      </c>
      <c r="F553" s="34">
        <v>0</v>
      </c>
      <c r="G553" s="5">
        <f t="shared" si="8"/>
        <v>0.9212219444444445</v>
      </c>
    </row>
    <row r="554" spans="1:7" x14ac:dyDescent="0.3">
      <c r="A554" s="33">
        <v>46003.513738425929</v>
      </c>
      <c r="B554" s="34">
        <v>5530</v>
      </c>
      <c r="C554" s="34">
        <v>0.9587</v>
      </c>
      <c r="D554" s="34">
        <v>331.03989999999999</v>
      </c>
      <c r="E554" s="34">
        <v>317.49029999999999</v>
      </c>
      <c r="F554" s="34">
        <v>0</v>
      </c>
      <c r="G554" s="5">
        <f t="shared" si="8"/>
        <v>0.92007611111111109</v>
      </c>
    </row>
    <row r="555" spans="1:7" x14ac:dyDescent="0.3">
      <c r="A555" s="33">
        <v>46003.513854166667</v>
      </c>
      <c r="B555" s="34">
        <v>5540</v>
      </c>
      <c r="C555" s="34">
        <v>0.95750000000000002</v>
      </c>
      <c r="D555" s="34">
        <v>330.68990000000002</v>
      </c>
      <c r="E555" s="34">
        <v>316.86532999999997</v>
      </c>
      <c r="F555" s="34">
        <v>0</v>
      </c>
      <c r="G555" s="5">
        <f t="shared" si="8"/>
        <v>0.91906916666666683</v>
      </c>
    </row>
    <row r="556" spans="1:7" x14ac:dyDescent="0.3">
      <c r="A556" s="33">
        <v>46003.513969907406</v>
      </c>
      <c r="B556" s="34">
        <v>5550</v>
      </c>
      <c r="C556" s="34">
        <v>0.95750000000000002</v>
      </c>
      <c r="D556" s="34">
        <v>330.38990000000001</v>
      </c>
      <c r="E556" s="34">
        <v>316.24036000000001</v>
      </c>
      <c r="F556" s="34">
        <v>0</v>
      </c>
      <c r="G556" s="5">
        <f t="shared" si="8"/>
        <v>0.91816638888888891</v>
      </c>
    </row>
    <row r="557" spans="1:7" x14ac:dyDescent="0.3">
      <c r="A557" s="33">
        <v>46003.514085648145</v>
      </c>
      <c r="B557" s="34">
        <v>5560</v>
      </c>
      <c r="C557" s="34">
        <v>0.95620000000000005</v>
      </c>
      <c r="D557" s="34">
        <v>330.11489999999998</v>
      </c>
      <c r="E557" s="34">
        <v>315.61536000000001</v>
      </c>
      <c r="F557" s="34">
        <v>0</v>
      </c>
      <c r="G557" s="5">
        <f t="shared" si="8"/>
        <v>0.91736777777777767</v>
      </c>
    </row>
    <row r="558" spans="1:7" x14ac:dyDescent="0.3">
      <c r="A558" s="33">
        <v>46003.514201388891</v>
      </c>
      <c r="B558" s="34">
        <v>5570</v>
      </c>
      <c r="C558" s="34">
        <v>0.95499999999999996</v>
      </c>
      <c r="D558" s="34">
        <v>329.8399</v>
      </c>
      <c r="E558" s="34">
        <v>315.61536000000001</v>
      </c>
      <c r="F558" s="34">
        <v>0</v>
      </c>
      <c r="G558" s="5">
        <f t="shared" si="8"/>
        <v>0.91660388888888888</v>
      </c>
    </row>
    <row r="559" spans="1:7" x14ac:dyDescent="0.3">
      <c r="A559" s="33">
        <v>46003.514317129629</v>
      </c>
      <c r="B559" s="34">
        <v>5580</v>
      </c>
      <c r="C559" s="34">
        <v>0.95369999999999999</v>
      </c>
      <c r="D559" s="34">
        <v>329.5899</v>
      </c>
      <c r="E559" s="34">
        <v>314.36541999999997</v>
      </c>
      <c r="F559" s="34">
        <v>0</v>
      </c>
      <c r="G559" s="5">
        <f t="shared" si="8"/>
        <v>0.91587472222222222</v>
      </c>
    </row>
    <row r="560" spans="1:7" x14ac:dyDescent="0.3">
      <c r="A560" s="33">
        <v>46003.514432870368</v>
      </c>
      <c r="B560" s="34">
        <v>5590</v>
      </c>
      <c r="C560" s="34">
        <v>0.95369999999999999</v>
      </c>
      <c r="D560" s="34">
        <v>329.36489999999998</v>
      </c>
      <c r="E560" s="34">
        <v>314.36541999999997</v>
      </c>
      <c r="F560" s="34">
        <v>0</v>
      </c>
      <c r="G560" s="5">
        <f t="shared" si="8"/>
        <v>0.915215</v>
      </c>
    </row>
    <row r="561" spans="1:7" x14ac:dyDescent="0.3">
      <c r="A561" s="33">
        <v>46003.514548611114</v>
      </c>
      <c r="B561" s="34">
        <v>5600</v>
      </c>
      <c r="C561" s="34">
        <v>0.95369999999999999</v>
      </c>
      <c r="D561" s="34">
        <v>329.16489999999999</v>
      </c>
      <c r="E561" s="34">
        <v>314.36541999999997</v>
      </c>
      <c r="F561" s="34">
        <v>0</v>
      </c>
      <c r="G561" s="5">
        <f t="shared" si="8"/>
        <v>0.91462472222222224</v>
      </c>
    </row>
    <row r="562" spans="1:7" x14ac:dyDescent="0.3">
      <c r="A562" s="33">
        <v>46003.514664351853</v>
      </c>
      <c r="B562" s="34">
        <v>5610</v>
      </c>
      <c r="C562" s="34">
        <v>0.95250000000000001</v>
      </c>
      <c r="D562" s="34">
        <v>328.9649</v>
      </c>
      <c r="E562" s="34">
        <v>313.11545000000001</v>
      </c>
      <c r="F562" s="34">
        <v>0</v>
      </c>
      <c r="G562" s="5">
        <f t="shared" si="8"/>
        <v>0.9140691666666666</v>
      </c>
    </row>
    <row r="563" spans="1:7" x14ac:dyDescent="0.3">
      <c r="A563" s="33">
        <v>46003.514780092592</v>
      </c>
      <c r="B563" s="34">
        <v>5620</v>
      </c>
      <c r="C563" s="34">
        <v>0.95250000000000001</v>
      </c>
      <c r="D563" s="34">
        <v>328.78989999999999</v>
      </c>
      <c r="E563" s="34">
        <v>313.11545000000001</v>
      </c>
      <c r="F563" s="34">
        <v>0</v>
      </c>
      <c r="G563" s="5">
        <f t="shared" si="8"/>
        <v>0.9135483333333333</v>
      </c>
    </row>
    <row r="564" spans="1:7" x14ac:dyDescent="0.3">
      <c r="A564" s="33">
        <v>46003.51489583333</v>
      </c>
      <c r="B564" s="34">
        <v>5630</v>
      </c>
      <c r="C564" s="34">
        <v>0.95120000000000005</v>
      </c>
      <c r="D564" s="34">
        <v>328.61500000000001</v>
      </c>
      <c r="E564" s="34">
        <v>312.49047999999999</v>
      </c>
      <c r="F564" s="34">
        <v>0</v>
      </c>
      <c r="G564" s="5">
        <f t="shared" si="8"/>
        <v>0.91306236111111116</v>
      </c>
    </row>
    <row r="565" spans="1:7" x14ac:dyDescent="0.3">
      <c r="A565" s="33">
        <v>46003.515011574076</v>
      </c>
      <c r="B565" s="34">
        <v>5640</v>
      </c>
      <c r="C565" s="34">
        <v>0.95120000000000005</v>
      </c>
      <c r="D565" s="34">
        <v>328.44</v>
      </c>
      <c r="E565" s="34">
        <v>312.49047999999999</v>
      </c>
      <c r="F565" s="34">
        <v>0</v>
      </c>
      <c r="G565" s="5">
        <f t="shared" si="8"/>
        <v>0.91257638888888903</v>
      </c>
    </row>
    <row r="566" spans="1:7" x14ac:dyDescent="0.3">
      <c r="A566" s="33">
        <v>46003.515127314815</v>
      </c>
      <c r="B566" s="34">
        <v>5650</v>
      </c>
      <c r="C566" s="34">
        <v>0.95</v>
      </c>
      <c r="D566" s="34">
        <v>328.26499999999999</v>
      </c>
      <c r="E566" s="34">
        <v>312.49047999999999</v>
      </c>
      <c r="F566" s="34">
        <v>0</v>
      </c>
      <c r="G566" s="5">
        <f t="shared" si="8"/>
        <v>0.91209027777777774</v>
      </c>
    </row>
    <row r="567" spans="1:7" x14ac:dyDescent="0.3">
      <c r="A567" s="33">
        <v>46003.515243055554</v>
      </c>
      <c r="B567" s="34">
        <v>5660</v>
      </c>
      <c r="C567" s="34">
        <v>0.95</v>
      </c>
      <c r="D567" s="34">
        <v>328.09</v>
      </c>
      <c r="E567" s="34">
        <v>311.24050999999997</v>
      </c>
      <c r="F567" s="34">
        <v>0</v>
      </c>
      <c r="G567" s="5">
        <f t="shared" si="8"/>
        <v>0.91160416666666677</v>
      </c>
    </row>
    <row r="568" spans="1:7" x14ac:dyDescent="0.3">
      <c r="A568" s="33">
        <v>46003.5153587963</v>
      </c>
      <c r="B568" s="34">
        <v>5670</v>
      </c>
      <c r="C568" s="34">
        <v>0.94869999999999999</v>
      </c>
      <c r="D568" s="34">
        <v>327.94</v>
      </c>
      <c r="E568" s="34">
        <v>311.24050999999997</v>
      </c>
      <c r="F568" s="34">
        <v>0</v>
      </c>
      <c r="G568" s="5">
        <f t="shared" si="8"/>
        <v>0.91115277777777781</v>
      </c>
    </row>
    <row r="569" spans="1:7" x14ac:dyDescent="0.3">
      <c r="A569" s="33">
        <v>46003.515474537038</v>
      </c>
      <c r="B569" s="34">
        <v>5680</v>
      </c>
      <c r="C569" s="34">
        <v>0.94869999999999999</v>
      </c>
      <c r="D569" s="34">
        <v>327.76499999999999</v>
      </c>
      <c r="E569" s="34">
        <v>311.24050999999997</v>
      </c>
      <c r="F569" s="34">
        <v>0</v>
      </c>
      <c r="G569" s="5">
        <f t="shared" si="8"/>
        <v>0.91070138888888885</v>
      </c>
    </row>
    <row r="570" spans="1:7" x14ac:dyDescent="0.3">
      <c r="A570" s="33">
        <v>46003.515590277777</v>
      </c>
      <c r="B570" s="34">
        <v>5690</v>
      </c>
      <c r="C570" s="34">
        <v>0.94869999999999999</v>
      </c>
      <c r="D570" s="34">
        <v>327.61500000000001</v>
      </c>
      <c r="E570" s="34">
        <v>311.24050999999997</v>
      </c>
      <c r="F570" s="34">
        <v>0</v>
      </c>
      <c r="G570" s="5">
        <f t="shared" si="8"/>
        <v>0.91025</v>
      </c>
    </row>
    <row r="571" spans="1:7" x14ac:dyDescent="0.3">
      <c r="A571" s="33">
        <v>46003.515706018516</v>
      </c>
      <c r="B571" s="34">
        <v>5700</v>
      </c>
      <c r="C571" s="34">
        <v>0.94869999999999999</v>
      </c>
      <c r="D571" s="34">
        <v>327.44</v>
      </c>
      <c r="E571" s="34">
        <v>309.99054000000001</v>
      </c>
      <c r="F571" s="34">
        <v>0</v>
      </c>
      <c r="G571" s="5">
        <f t="shared" si="8"/>
        <v>0.90979861111111127</v>
      </c>
    </row>
    <row r="572" spans="1:7" x14ac:dyDescent="0.3">
      <c r="A572" s="33">
        <v>46003.515821759262</v>
      </c>
      <c r="B572" s="34">
        <v>5710</v>
      </c>
      <c r="C572" s="34">
        <v>0.94750000000000001</v>
      </c>
      <c r="D572" s="34">
        <v>327.29000000000002</v>
      </c>
      <c r="E572" s="34">
        <v>309.99054000000001</v>
      </c>
      <c r="F572" s="34">
        <v>0</v>
      </c>
      <c r="G572" s="5">
        <f t="shared" si="8"/>
        <v>0.90934722222222231</v>
      </c>
    </row>
    <row r="573" spans="1:7" x14ac:dyDescent="0.3">
      <c r="A573" s="33">
        <v>46003.5159375</v>
      </c>
      <c r="B573" s="34">
        <v>5720</v>
      </c>
      <c r="C573" s="34">
        <v>0.94750000000000001</v>
      </c>
      <c r="D573" s="34">
        <v>327.14</v>
      </c>
      <c r="E573" s="34">
        <v>309.99054000000001</v>
      </c>
      <c r="F573" s="34">
        <v>0</v>
      </c>
      <c r="G573" s="5">
        <f t="shared" si="8"/>
        <v>0.90893055555555569</v>
      </c>
    </row>
    <row r="574" spans="1:7" x14ac:dyDescent="0.3">
      <c r="A574" s="33">
        <v>46003.516053240739</v>
      </c>
      <c r="B574" s="34">
        <v>5730</v>
      </c>
      <c r="C574" s="34">
        <v>0.94620000000000004</v>
      </c>
      <c r="D574" s="34">
        <v>326.96499999999997</v>
      </c>
      <c r="E574" s="34">
        <v>309.36556999999999</v>
      </c>
      <c r="F574" s="34">
        <v>0</v>
      </c>
      <c r="G574" s="5">
        <f t="shared" si="8"/>
        <v>0.90847916666666673</v>
      </c>
    </row>
    <row r="575" spans="1:7" x14ac:dyDescent="0.3">
      <c r="A575" s="33">
        <v>46003.516168981485</v>
      </c>
      <c r="B575" s="34">
        <v>5740</v>
      </c>
      <c r="C575" s="34">
        <v>1.1975</v>
      </c>
      <c r="D575" s="34">
        <v>0</v>
      </c>
      <c r="E575" s="34">
        <v>0</v>
      </c>
      <c r="F575" s="34">
        <v>1</v>
      </c>
      <c r="G575" s="5">
        <f t="shared" si="8"/>
        <v>0.45411805555555551</v>
      </c>
    </row>
    <row r="576" spans="1:7" x14ac:dyDescent="0.3">
      <c r="A576" s="33">
        <v>46003.516284722224</v>
      </c>
      <c r="B576" s="34">
        <v>5750</v>
      </c>
      <c r="C576" s="34">
        <v>1.2061999999999999</v>
      </c>
      <c r="D576" s="34">
        <v>0</v>
      </c>
      <c r="E576" s="34">
        <v>0</v>
      </c>
      <c r="F576" s="34">
        <v>1</v>
      </c>
      <c r="G576" s="5">
        <f t="shared" si="8"/>
        <v>0</v>
      </c>
    </row>
    <row r="577" spans="1:7" x14ac:dyDescent="0.3">
      <c r="A577" s="33">
        <v>46003.516400462962</v>
      </c>
      <c r="B577" s="34">
        <v>5760</v>
      </c>
      <c r="C577" s="34">
        <v>1.2124999999999999</v>
      </c>
      <c r="D577" s="34">
        <v>0</v>
      </c>
      <c r="E577" s="34">
        <v>0</v>
      </c>
      <c r="F577" s="34">
        <v>1</v>
      </c>
      <c r="G577" s="5">
        <f t="shared" si="8"/>
        <v>0</v>
      </c>
    </row>
    <row r="578" spans="1:7" x14ac:dyDescent="0.3">
      <c r="A578" s="33">
        <v>46003.516516203701</v>
      </c>
      <c r="B578" s="34">
        <v>5770</v>
      </c>
      <c r="C578" s="34">
        <v>1.2175</v>
      </c>
      <c r="D578" s="34">
        <v>0</v>
      </c>
      <c r="E578" s="34">
        <v>0</v>
      </c>
      <c r="F578" s="34">
        <v>1</v>
      </c>
      <c r="G578" s="5">
        <f t="shared" si="8"/>
        <v>0</v>
      </c>
    </row>
    <row r="579" spans="1:7" x14ac:dyDescent="0.3">
      <c r="A579" s="33">
        <v>46003.516631944447</v>
      </c>
      <c r="B579" s="34">
        <v>5780</v>
      </c>
      <c r="C579" s="34">
        <v>1.2212000000000001</v>
      </c>
      <c r="D579" s="34">
        <v>0</v>
      </c>
      <c r="E579" s="34">
        <v>0</v>
      </c>
      <c r="F579" s="34">
        <v>1</v>
      </c>
      <c r="G579" s="5">
        <f t="shared" si="8"/>
        <v>0</v>
      </c>
    </row>
    <row r="580" spans="1:7" x14ac:dyDescent="0.3">
      <c r="A580" s="33">
        <v>46003.516747685186</v>
      </c>
      <c r="B580" s="34">
        <v>5790</v>
      </c>
      <c r="C580" s="34">
        <v>1.2250000000000001</v>
      </c>
      <c r="D580" s="34">
        <v>0</v>
      </c>
      <c r="E580" s="34">
        <v>0</v>
      </c>
      <c r="F580" s="34">
        <v>1</v>
      </c>
      <c r="G580" s="5">
        <f t="shared" si="8"/>
        <v>0</v>
      </c>
    </row>
    <row r="581" spans="1:7" x14ac:dyDescent="0.3">
      <c r="A581" s="33">
        <v>46003.516863425924</v>
      </c>
      <c r="B581" s="34">
        <v>5800</v>
      </c>
      <c r="C581" s="34">
        <v>1.2275</v>
      </c>
      <c r="D581" s="34">
        <v>0</v>
      </c>
      <c r="E581" s="34">
        <v>0</v>
      </c>
      <c r="F581" s="34">
        <v>1</v>
      </c>
      <c r="G581" s="5">
        <f t="shared" si="8"/>
        <v>0</v>
      </c>
    </row>
    <row r="582" spans="1:7" x14ac:dyDescent="0.3">
      <c r="A582" s="33">
        <v>46003.516979166663</v>
      </c>
      <c r="B582" s="34">
        <v>5810</v>
      </c>
      <c r="C582" s="34">
        <v>1.23</v>
      </c>
      <c r="D582" s="34">
        <v>0</v>
      </c>
      <c r="E582" s="34">
        <v>0</v>
      </c>
      <c r="F582" s="34">
        <v>1</v>
      </c>
      <c r="G582" s="5">
        <f t="shared" si="8"/>
        <v>0</v>
      </c>
    </row>
    <row r="583" spans="1:7" x14ac:dyDescent="0.3">
      <c r="A583" s="33">
        <v>46003.517094907409</v>
      </c>
      <c r="B583" s="34">
        <v>5820</v>
      </c>
      <c r="C583" s="34">
        <v>1.2324999999999999</v>
      </c>
      <c r="D583" s="34">
        <v>0</v>
      </c>
      <c r="E583" s="34">
        <v>0</v>
      </c>
      <c r="F583" s="34">
        <v>1</v>
      </c>
      <c r="G583" s="5">
        <f t="shared" ref="G583:G646" si="9">($B$2/3600)*((D582+D583)/2)</f>
        <v>0</v>
      </c>
    </row>
    <row r="584" spans="1:7" x14ac:dyDescent="0.3">
      <c r="A584" s="33">
        <v>46003.517210648148</v>
      </c>
      <c r="B584" s="34">
        <v>5830</v>
      </c>
      <c r="C584" s="34">
        <v>0.97370000000000001</v>
      </c>
      <c r="D584" s="34">
        <v>336.56470000000002</v>
      </c>
      <c r="E584" s="34">
        <v>327.48998999999998</v>
      </c>
      <c r="F584" s="34">
        <v>0</v>
      </c>
      <c r="G584" s="5">
        <f t="shared" si="9"/>
        <v>0.46745097222222226</v>
      </c>
    </row>
    <row r="585" spans="1:7" x14ac:dyDescent="0.3">
      <c r="A585" s="33">
        <v>46003.517326388886</v>
      </c>
      <c r="B585" s="34">
        <v>5840</v>
      </c>
      <c r="C585" s="34">
        <v>0.96499999999999997</v>
      </c>
      <c r="D585" s="34">
        <v>333.9898</v>
      </c>
      <c r="E585" s="34">
        <v>322.49016999999998</v>
      </c>
      <c r="F585" s="34">
        <v>0</v>
      </c>
      <c r="G585" s="5">
        <f t="shared" si="9"/>
        <v>0.93132569444444446</v>
      </c>
    </row>
    <row r="586" spans="1:7" x14ac:dyDescent="0.3">
      <c r="A586" s="33">
        <v>46003.517442129632</v>
      </c>
      <c r="B586" s="34">
        <v>5850</v>
      </c>
      <c r="C586" s="34">
        <v>0.96</v>
      </c>
      <c r="D586" s="34">
        <v>332.43979999999999</v>
      </c>
      <c r="E586" s="34">
        <v>319.36525999999998</v>
      </c>
      <c r="F586" s="34">
        <v>0</v>
      </c>
      <c r="G586" s="5">
        <f t="shared" si="9"/>
        <v>0.92559666666666662</v>
      </c>
    </row>
    <row r="587" spans="1:7" x14ac:dyDescent="0.3">
      <c r="A587" s="33">
        <v>46003.517557870371</v>
      </c>
      <c r="B587" s="34">
        <v>5860</v>
      </c>
      <c r="C587" s="34">
        <v>0.96</v>
      </c>
      <c r="D587" s="34">
        <v>331.28989999999999</v>
      </c>
      <c r="E587" s="34">
        <v>318.11529999999999</v>
      </c>
      <c r="F587" s="34">
        <v>0</v>
      </c>
      <c r="G587" s="5">
        <f t="shared" si="9"/>
        <v>0.92184680555555554</v>
      </c>
    </row>
    <row r="588" spans="1:7" x14ac:dyDescent="0.3">
      <c r="A588" s="33">
        <v>46003.51767361111</v>
      </c>
      <c r="B588" s="34">
        <v>5870</v>
      </c>
      <c r="C588" s="34">
        <v>0.95620000000000005</v>
      </c>
      <c r="D588" s="34">
        <v>330.38990000000001</v>
      </c>
      <c r="E588" s="34">
        <v>315.61536000000001</v>
      </c>
      <c r="F588" s="34">
        <v>0</v>
      </c>
      <c r="G588" s="5">
        <f t="shared" si="9"/>
        <v>0.91899972222222226</v>
      </c>
    </row>
    <row r="589" spans="1:7" x14ac:dyDescent="0.3">
      <c r="A589" s="33">
        <v>46003.517789351848</v>
      </c>
      <c r="B589" s="34">
        <v>5880</v>
      </c>
      <c r="C589" s="34">
        <v>0.95369999999999999</v>
      </c>
      <c r="D589" s="34">
        <v>329.66489999999999</v>
      </c>
      <c r="E589" s="34">
        <v>314.36541999999997</v>
      </c>
      <c r="F589" s="34">
        <v>0</v>
      </c>
      <c r="G589" s="5">
        <f t="shared" si="9"/>
        <v>0.9167427777777778</v>
      </c>
    </row>
    <row r="590" spans="1:7" x14ac:dyDescent="0.3">
      <c r="A590" s="33">
        <v>46003.517905092594</v>
      </c>
      <c r="B590" s="34">
        <v>5890</v>
      </c>
      <c r="C590" s="34">
        <v>0.95250000000000001</v>
      </c>
      <c r="D590" s="34">
        <v>329.06490000000002</v>
      </c>
      <c r="E590" s="34">
        <v>313.11545000000001</v>
      </c>
      <c r="F590" s="34">
        <v>0</v>
      </c>
      <c r="G590" s="5">
        <f t="shared" si="9"/>
        <v>0.91490250000000017</v>
      </c>
    </row>
    <row r="591" spans="1:7" x14ac:dyDescent="0.3">
      <c r="A591" s="33">
        <v>46003.518020833333</v>
      </c>
      <c r="B591" s="34">
        <v>5900</v>
      </c>
      <c r="C591" s="34">
        <v>0.95</v>
      </c>
      <c r="D591" s="34">
        <v>328.54</v>
      </c>
      <c r="E591" s="34">
        <v>312.49047999999999</v>
      </c>
      <c r="F591" s="34">
        <v>0</v>
      </c>
      <c r="G591" s="5">
        <f t="shared" si="9"/>
        <v>0.91334013888888899</v>
      </c>
    </row>
    <row r="592" spans="1:7" x14ac:dyDescent="0.3">
      <c r="A592" s="33">
        <v>46003.518136574072</v>
      </c>
      <c r="B592" s="34">
        <v>5910</v>
      </c>
      <c r="C592" s="34">
        <v>0.95</v>
      </c>
      <c r="D592" s="34">
        <v>328.11500000000001</v>
      </c>
      <c r="E592" s="34">
        <v>311.24050999999997</v>
      </c>
      <c r="F592" s="34">
        <v>0</v>
      </c>
      <c r="G592" s="5">
        <f t="shared" si="9"/>
        <v>0.91202083333333328</v>
      </c>
    </row>
    <row r="593" spans="1:7" x14ac:dyDescent="0.3">
      <c r="A593" s="33">
        <v>46003.518252314818</v>
      </c>
      <c r="B593" s="34">
        <v>5920</v>
      </c>
      <c r="C593" s="34">
        <v>0.94869999999999999</v>
      </c>
      <c r="D593" s="34">
        <v>327.71499999999997</v>
      </c>
      <c r="E593" s="34">
        <v>311.24050999999997</v>
      </c>
      <c r="F593" s="34">
        <v>0</v>
      </c>
      <c r="G593" s="5">
        <f t="shared" si="9"/>
        <v>0.91087499999999988</v>
      </c>
    </row>
    <row r="594" spans="1:7" x14ac:dyDescent="0.3">
      <c r="A594" s="33">
        <v>46003.518368055556</v>
      </c>
      <c r="B594" s="34">
        <v>5930</v>
      </c>
      <c r="C594" s="34">
        <v>0.94750000000000001</v>
      </c>
      <c r="D594" s="34">
        <v>327.36500000000001</v>
      </c>
      <c r="E594" s="34">
        <v>309.99054000000001</v>
      </c>
      <c r="F594" s="34">
        <v>0</v>
      </c>
      <c r="G594" s="5">
        <f t="shared" si="9"/>
        <v>0.90983333333333327</v>
      </c>
    </row>
    <row r="595" spans="1:7" x14ac:dyDescent="0.3">
      <c r="A595" s="33">
        <v>46003.518483796295</v>
      </c>
      <c r="B595" s="34">
        <v>5940</v>
      </c>
      <c r="C595" s="34">
        <v>0.94620000000000004</v>
      </c>
      <c r="D595" s="34">
        <v>327.065</v>
      </c>
      <c r="E595" s="34">
        <v>309.36556999999999</v>
      </c>
      <c r="F595" s="34">
        <v>0</v>
      </c>
      <c r="G595" s="5">
        <f t="shared" si="9"/>
        <v>0.90893055555555569</v>
      </c>
    </row>
    <row r="596" spans="1:7" x14ac:dyDescent="0.3">
      <c r="A596" s="33">
        <v>46003.518599537034</v>
      </c>
      <c r="B596" s="34">
        <v>5950</v>
      </c>
      <c r="C596" s="34">
        <v>0.94499999999999995</v>
      </c>
      <c r="D596" s="34">
        <v>326.79000000000002</v>
      </c>
      <c r="E596" s="34">
        <v>309.36556999999999</v>
      </c>
      <c r="F596" s="34">
        <v>0</v>
      </c>
      <c r="G596" s="5">
        <f t="shared" si="9"/>
        <v>0.90813194444444445</v>
      </c>
    </row>
    <row r="597" spans="1:7" x14ac:dyDescent="0.3">
      <c r="A597" s="33">
        <v>46003.51871527778</v>
      </c>
      <c r="B597" s="34">
        <v>5960</v>
      </c>
      <c r="C597" s="34">
        <v>0.94369999999999998</v>
      </c>
      <c r="D597" s="34">
        <v>326.51499999999999</v>
      </c>
      <c r="E597" s="34">
        <v>308.11559999999997</v>
      </c>
      <c r="F597" s="34">
        <v>0</v>
      </c>
      <c r="G597" s="5">
        <f t="shared" si="9"/>
        <v>0.90736805555555566</v>
      </c>
    </row>
    <row r="598" spans="1:7" x14ac:dyDescent="0.3">
      <c r="A598" s="33">
        <v>46003.518831018519</v>
      </c>
      <c r="B598" s="34">
        <v>5970</v>
      </c>
      <c r="C598" s="34">
        <v>0.94369999999999998</v>
      </c>
      <c r="D598" s="34">
        <v>326.26499999999999</v>
      </c>
      <c r="E598" s="34">
        <v>308.11559999999997</v>
      </c>
      <c r="F598" s="34">
        <v>0</v>
      </c>
      <c r="G598" s="5">
        <f t="shared" si="9"/>
        <v>0.90663888888888888</v>
      </c>
    </row>
    <row r="599" spans="1:7" x14ac:dyDescent="0.3">
      <c r="A599" s="33">
        <v>46003.518946759257</v>
      </c>
      <c r="B599" s="34">
        <v>5980</v>
      </c>
      <c r="C599" s="34">
        <v>0.94369999999999998</v>
      </c>
      <c r="D599" s="34">
        <v>326.01499999999999</v>
      </c>
      <c r="E599" s="34">
        <v>307.49059999999997</v>
      </c>
      <c r="F599" s="34">
        <v>0</v>
      </c>
      <c r="G599" s="5">
        <f t="shared" si="9"/>
        <v>0.90594444444444444</v>
      </c>
    </row>
    <row r="600" spans="1:7" x14ac:dyDescent="0.3">
      <c r="A600" s="33">
        <v>46003.519062500003</v>
      </c>
      <c r="B600" s="34">
        <v>5990</v>
      </c>
      <c r="C600" s="34">
        <v>0.9425</v>
      </c>
      <c r="D600" s="34">
        <v>325.815</v>
      </c>
      <c r="E600" s="34">
        <v>307.49059999999997</v>
      </c>
      <c r="F600" s="34">
        <v>0</v>
      </c>
      <c r="G600" s="5">
        <f t="shared" si="9"/>
        <v>0.90531944444444434</v>
      </c>
    </row>
    <row r="601" spans="1:7" x14ac:dyDescent="0.3">
      <c r="A601" s="33">
        <v>46003.519178240742</v>
      </c>
      <c r="B601" s="34">
        <v>6000</v>
      </c>
      <c r="C601" s="34">
        <v>0.94120000000000004</v>
      </c>
      <c r="D601" s="34">
        <v>325.61509999999998</v>
      </c>
      <c r="E601" s="34">
        <v>306.86563000000001</v>
      </c>
      <c r="F601" s="34">
        <v>0</v>
      </c>
      <c r="G601" s="5">
        <f t="shared" si="9"/>
        <v>0.90476402777777787</v>
      </c>
    </row>
    <row r="602" spans="1:7" x14ac:dyDescent="0.3">
      <c r="A602" s="33">
        <v>46003.519293981481</v>
      </c>
      <c r="B602" s="34">
        <v>6010</v>
      </c>
      <c r="C602" s="34">
        <v>0.94120000000000004</v>
      </c>
      <c r="D602" s="34">
        <v>325.4151</v>
      </c>
      <c r="E602" s="34">
        <v>306.24065999999999</v>
      </c>
      <c r="F602" s="34">
        <v>0</v>
      </c>
      <c r="G602" s="5">
        <f t="shared" si="9"/>
        <v>0.90420861111111106</v>
      </c>
    </row>
    <row r="603" spans="1:7" x14ac:dyDescent="0.3">
      <c r="A603" s="33">
        <v>46003.519409722219</v>
      </c>
      <c r="B603" s="34">
        <v>6020</v>
      </c>
      <c r="C603" s="34">
        <v>0.94</v>
      </c>
      <c r="D603" s="34">
        <v>325.24009999999998</v>
      </c>
      <c r="E603" s="34">
        <v>306.24065999999999</v>
      </c>
      <c r="F603" s="34">
        <v>0</v>
      </c>
      <c r="G603" s="5">
        <f t="shared" si="9"/>
        <v>0.90368777777777776</v>
      </c>
    </row>
    <row r="604" spans="1:7" x14ac:dyDescent="0.3">
      <c r="A604" s="33">
        <v>46003.519525462965</v>
      </c>
      <c r="B604" s="34">
        <v>6030</v>
      </c>
      <c r="C604" s="34">
        <v>0.94</v>
      </c>
      <c r="D604" s="34">
        <v>325.06509999999997</v>
      </c>
      <c r="E604" s="34">
        <v>304.99068999999997</v>
      </c>
      <c r="F604" s="34">
        <v>0</v>
      </c>
      <c r="G604" s="5">
        <f t="shared" si="9"/>
        <v>0.90320166666666668</v>
      </c>
    </row>
    <row r="605" spans="1:7" x14ac:dyDescent="0.3">
      <c r="A605" s="33">
        <v>46003.519641203704</v>
      </c>
      <c r="B605" s="34">
        <v>6040</v>
      </c>
      <c r="C605" s="34">
        <v>0.94</v>
      </c>
      <c r="D605" s="34">
        <v>324.89010000000002</v>
      </c>
      <c r="E605" s="34">
        <v>305.61565999999999</v>
      </c>
      <c r="F605" s="34">
        <v>0</v>
      </c>
      <c r="G605" s="5">
        <f t="shared" si="9"/>
        <v>0.9027155555555556</v>
      </c>
    </row>
    <row r="606" spans="1:7" x14ac:dyDescent="0.3">
      <c r="A606" s="33">
        <v>46003.519756944443</v>
      </c>
      <c r="B606" s="34">
        <v>6050</v>
      </c>
      <c r="C606" s="34">
        <v>0.93869999999999998</v>
      </c>
      <c r="D606" s="34">
        <v>324.74009999999998</v>
      </c>
      <c r="E606" s="34">
        <v>304.99068999999997</v>
      </c>
      <c r="F606" s="34">
        <v>0</v>
      </c>
      <c r="G606" s="5">
        <f t="shared" si="9"/>
        <v>0.90226416666666676</v>
      </c>
    </row>
    <row r="607" spans="1:7" x14ac:dyDescent="0.3">
      <c r="A607" s="33">
        <v>46003.519872685189</v>
      </c>
      <c r="B607" s="34">
        <v>6060</v>
      </c>
      <c r="C607" s="34">
        <v>0.9375</v>
      </c>
      <c r="D607" s="34">
        <v>324.59010000000001</v>
      </c>
      <c r="E607" s="34">
        <v>304.36572000000001</v>
      </c>
      <c r="F607" s="34">
        <v>0</v>
      </c>
      <c r="G607" s="5">
        <f t="shared" si="9"/>
        <v>0.90184750000000002</v>
      </c>
    </row>
    <row r="608" spans="1:7" x14ac:dyDescent="0.3">
      <c r="A608" s="33">
        <v>46003.519988425927</v>
      </c>
      <c r="B608" s="34">
        <v>6070</v>
      </c>
      <c r="C608" s="34">
        <v>0.9375</v>
      </c>
      <c r="D608" s="34">
        <v>324.4151</v>
      </c>
      <c r="E608" s="34">
        <v>304.36572000000001</v>
      </c>
      <c r="F608" s="34">
        <v>0</v>
      </c>
      <c r="G608" s="5">
        <f t="shared" si="9"/>
        <v>0.90139611111111118</v>
      </c>
    </row>
    <row r="609" spans="1:7" x14ac:dyDescent="0.3">
      <c r="A609" s="33">
        <v>46003.520104166666</v>
      </c>
      <c r="B609" s="34">
        <v>6080</v>
      </c>
      <c r="C609" s="34">
        <v>0.93869999999999998</v>
      </c>
      <c r="D609" s="34">
        <v>324.2901</v>
      </c>
      <c r="E609" s="34">
        <v>304.36572000000001</v>
      </c>
      <c r="F609" s="34">
        <v>0</v>
      </c>
      <c r="G609" s="5">
        <f t="shared" si="9"/>
        <v>0.90097944444444444</v>
      </c>
    </row>
    <row r="610" spans="1:7" x14ac:dyDescent="0.3">
      <c r="A610" s="33">
        <v>46003.520219907405</v>
      </c>
      <c r="B610" s="34">
        <v>6090</v>
      </c>
      <c r="C610" s="34">
        <v>0.93869999999999998</v>
      </c>
      <c r="D610" s="34">
        <v>324.11509999999998</v>
      </c>
      <c r="E610" s="34">
        <v>304.36572000000001</v>
      </c>
      <c r="F610" s="34">
        <v>0</v>
      </c>
      <c r="G610" s="5">
        <f t="shared" si="9"/>
        <v>0.90056277777777771</v>
      </c>
    </row>
    <row r="611" spans="1:7" x14ac:dyDescent="0.3">
      <c r="A611" s="33">
        <v>46003.520335648151</v>
      </c>
      <c r="B611" s="34">
        <v>6100</v>
      </c>
      <c r="C611" s="34">
        <v>0.9375</v>
      </c>
      <c r="D611" s="34">
        <v>323.94009999999997</v>
      </c>
      <c r="E611" s="34">
        <v>304.36572000000001</v>
      </c>
      <c r="F611" s="34">
        <v>0</v>
      </c>
      <c r="G611" s="5">
        <f t="shared" si="9"/>
        <v>0.90007666666666675</v>
      </c>
    </row>
    <row r="612" spans="1:7" x14ac:dyDescent="0.3">
      <c r="A612" s="33">
        <v>46003.520451388889</v>
      </c>
      <c r="B612" s="34">
        <v>6110</v>
      </c>
      <c r="C612" s="34">
        <v>0.9375</v>
      </c>
      <c r="D612" s="34">
        <v>323.7901</v>
      </c>
      <c r="E612" s="34">
        <v>303.11574999999999</v>
      </c>
      <c r="F612" s="34">
        <v>0</v>
      </c>
      <c r="G612" s="5">
        <f t="shared" si="9"/>
        <v>0.89962527777777779</v>
      </c>
    </row>
    <row r="613" spans="1:7" x14ac:dyDescent="0.3">
      <c r="A613" s="33">
        <v>46003.520567129628</v>
      </c>
      <c r="B613" s="34">
        <v>6120</v>
      </c>
      <c r="C613" s="34">
        <v>0.93620000000000003</v>
      </c>
      <c r="D613" s="34">
        <v>323.64010000000002</v>
      </c>
      <c r="E613" s="34">
        <v>303.11574999999999</v>
      </c>
      <c r="F613" s="34">
        <v>0</v>
      </c>
      <c r="G613" s="5">
        <f t="shared" si="9"/>
        <v>0.89920861111111117</v>
      </c>
    </row>
    <row r="614" spans="1:7" x14ac:dyDescent="0.3">
      <c r="A614" s="33">
        <v>46003.520682870374</v>
      </c>
      <c r="B614" s="34">
        <v>6130</v>
      </c>
      <c r="C614" s="34">
        <v>1.19</v>
      </c>
      <c r="D614" s="34">
        <v>0</v>
      </c>
      <c r="E614" s="34">
        <v>0</v>
      </c>
      <c r="F614" s="34">
        <v>1</v>
      </c>
      <c r="G614" s="5">
        <f t="shared" si="9"/>
        <v>0.44950013888888896</v>
      </c>
    </row>
    <row r="615" spans="1:7" x14ac:dyDescent="0.3">
      <c r="A615" s="33">
        <v>46003.520798611113</v>
      </c>
      <c r="B615" s="34">
        <v>6140</v>
      </c>
      <c r="C615" s="34">
        <v>1.2</v>
      </c>
      <c r="D615" s="34">
        <v>0</v>
      </c>
      <c r="E615" s="34">
        <v>0</v>
      </c>
      <c r="F615" s="34">
        <v>1</v>
      </c>
      <c r="G615" s="5">
        <f t="shared" si="9"/>
        <v>0</v>
      </c>
    </row>
    <row r="616" spans="1:7" x14ac:dyDescent="0.3">
      <c r="A616" s="33">
        <v>46003.520914351851</v>
      </c>
      <c r="B616" s="34">
        <v>6150</v>
      </c>
      <c r="C616" s="34">
        <v>1.2050000000000001</v>
      </c>
      <c r="D616" s="34">
        <v>0</v>
      </c>
      <c r="E616" s="34">
        <v>0</v>
      </c>
      <c r="F616" s="34">
        <v>1</v>
      </c>
      <c r="G616" s="5">
        <f t="shared" si="9"/>
        <v>0</v>
      </c>
    </row>
    <row r="617" spans="1:7" x14ac:dyDescent="0.3">
      <c r="A617" s="33">
        <v>46003.52103009259</v>
      </c>
      <c r="B617" s="34">
        <v>6160</v>
      </c>
      <c r="C617" s="34">
        <v>1.21</v>
      </c>
      <c r="D617" s="34">
        <v>0</v>
      </c>
      <c r="E617" s="34">
        <v>0</v>
      </c>
      <c r="F617" s="34">
        <v>1</v>
      </c>
      <c r="G617" s="5">
        <f t="shared" si="9"/>
        <v>0</v>
      </c>
    </row>
    <row r="618" spans="1:7" x14ac:dyDescent="0.3">
      <c r="A618" s="33">
        <v>46003.521145833336</v>
      </c>
      <c r="B618" s="34">
        <v>6170</v>
      </c>
      <c r="C618" s="34">
        <v>1.2150000000000001</v>
      </c>
      <c r="D618" s="34">
        <v>0</v>
      </c>
      <c r="E618" s="34">
        <v>0</v>
      </c>
      <c r="F618" s="34">
        <v>1</v>
      </c>
      <c r="G618" s="5">
        <f t="shared" si="9"/>
        <v>0</v>
      </c>
    </row>
    <row r="619" spans="1:7" x14ac:dyDescent="0.3">
      <c r="A619" s="33">
        <v>46003.521261574075</v>
      </c>
      <c r="B619" s="34">
        <v>6180</v>
      </c>
      <c r="C619" s="34">
        <v>1.2188000000000001</v>
      </c>
      <c r="D619" s="34">
        <v>0</v>
      </c>
      <c r="E619" s="34">
        <v>0</v>
      </c>
      <c r="F619" s="34">
        <v>1</v>
      </c>
      <c r="G619" s="5">
        <f t="shared" si="9"/>
        <v>0</v>
      </c>
    </row>
    <row r="620" spans="1:7" x14ac:dyDescent="0.3">
      <c r="A620" s="33">
        <v>46003.521377314813</v>
      </c>
      <c r="B620" s="34">
        <v>6190</v>
      </c>
      <c r="C620" s="34">
        <v>1.22</v>
      </c>
      <c r="D620" s="34">
        <v>0</v>
      </c>
      <c r="E620" s="34">
        <v>0</v>
      </c>
      <c r="F620" s="34">
        <v>1</v>
      </c>
      <c r="G620" s="5">
        <f t="shared" si="9"/>
        <v>0</v>
      </c>
    </row>
    <row r="621" spans="1:7" x14ac:dyDescent="0.3">
      <c r="A621" s="33">
        <v>46003.521493055552</v>
      </c>
      <c r="B621" s="34">
        <v>6200</v>
      </c>
      <c r="C621" s="34">
        <v>1.2224999999999999</v>
      </c>
      <c r="D621" s="34">
        <v>0</v>
      </c>
      <c r="E621" s="34">
        <v>0</v>
      </c>
      <c r="F621" s="34">
        <v>1</v>
      </c>
      <c r="G621" s="5">
        <f t="shared" si="9"/>
        <v>0</v>
      </c>
    </row>
    <row r="622" spans="1:7" x14ac:dyDescent="0.3">
      <c r="A622" s="33">
        <v>46003.521608796298</v>
      </c>
      <c r="B622" s="34">
        <v>6210</v>
      </c>
      <c r="C622" s="34">
        <v>1.2250000000000001</v>
      </c>
      <c r="D622" s="34">
        <v>0</v>
      </c>
      <c r="E622" s="34">
        <v>0</v>
      </c>
      <c r="F622" s="34">
        <v>1</v>
      </c>
      <c r="G622" s="5">
        <f t="shared" si="9"/>
        <v>0</v>
      </c>
    </row>
    <row r="623" spans="1:7" x14ac:dyDescent="0.3">
      <c r="A623" s="33">
        <v>46003.521724537037</v>
      </c>
      <c r="B623" s="34">
        <v>6220</v>
      </c>
      <c r="C623" s="34">
        <v>0.96379999999999999</v>
      </c>
      <c r="D623" s="34">
        <v>333.41480000000001</v>
      </c>
      <c r="E623" s="34">
        <v>321.24020000000002</v>
      </c>
      <c r="F623" s="34">
        <v>0</v>
      </c>
      <c r="G623" s="5">
        <f t="shared" si="9"/>
        <v>0.46307611111111113</v>
      </c>
    </row>
    <row r="624" spans="1:7" x14ac:dyDescent="0.3">
      <c r="A624" s="33">
        <v>46003.521840277775</v>
      </c>
      <c r="B624" s="34">
        <v>6230</v>
      </c>
      <c r="C624" s="34">
        <v>0.9587</v>
      </c>
      <c r="D624" s="34">
        <v>330.81490000000002</v>
      </c>
      <c r="E624" s="34">
        <v>317.49029999999999</v>
      </c>
      <c r="F624" s="34">
        <v>0</v>
      </c>
      <c r="G624" s="5">
        <f t="shared" si="9"/>
        <v>0.9225412500000002</v>
      </c>
    </row>
    <row r="625" spans="1:7" x14ac:dyDescent="0.3">
      <c r="A625" s="33">
        <v>46003.521956018521</v>
      </c>
      <c r="B625" s="34">
        <v>6240</v>
      </c>
      <c r="C625" s="34">
        <v>0.95250000000000001</v>
      </c>
      <c r="D625" s="34">
        <v>329.2149</v>
      </c>
      <c r="E625" s="34">
        <v>313.74041999999997</v>
      </c>
      <c r="F625" s="34">
        <v>0</v>
      </c>
      <c r="G625" s="5">
        <f t="shared" si="9"/>
        <v>0.91670805555555557</v>
      </c>
    </row>
    <row r="626" spans="1:7" x14ac:dyDescent="0.3">
      <c r="A626" s="33">
        <v>46003.52207175926</v>
      </c>
      <c r="B626" s="34">
        <v>6250</v>
      </c>
      <c r="C626" s="34">
        <v>0.95</v>
      </c>
      <c r="D626" s="34">
        <v>328.04</v>
      </c>
      <c r="E626" s="34">
        <v>311.24050999999997</v>
      </c>
      <c r="F626" s="34">
        <v>0</v>
      </c>
      <c r="G626" s="5">
        <f t="shared" si="9"/>
        <v>0.9128540277777778</v>
      </c>
    </row>
    <row r="627" spans="1:7" x14ac:dyDescent="0.3">
      <c r="A627" s="33">
        <v>46003.522187499999</v>
      </c>
      <c r="B627" s="34">
        <v>6260</v>
      </c>
      <c r="C627" s="34">
        <v>0.94620000000000004</v>
      </c>
      <c r="D627" s="34">
        <v>327.11500000000001</v>
      </c>
      <c r="E627" s="34">
        <v>309.36556999999999</v>
      </c>
      <c r="F627" s="34">
        <v>0</v>
      </c>
      <c r="G627" s="5">
        <f t="shared" si="9"/>
        <v>0.90993749999999995</v>
      </c>
    </row>
    <row r="628" spans="1:7" x14ac:dyDescent="0.3">
      <c r="A628" s="33">
        <v>46003.522303240738</v>
      </c>
      <c r="B628" s="34">
        <v>6270</v>
      </c>
      <c r="C628" s="34">
        <v>0.94369999999999998</v>
      </c>
      <c r="D628" s="34">
        <v>326.39</v>
      </c>
      <c r="E628" s="34">
        <v>308.11559999999997</v>
      </c>
      <c r="F628" s="34">
        <v>0</v>
      </c>
      <c r="G628" s="5">
        <f t="shared" si="9"/>
        <v>0.90764583333333337</v>
      </c>
    </row>
    <row r="629" spans="1:7" x14ac:dyDescent="0.3">
      <c r="A629" s="33">
        <v>46003.522418981483</v>
      </c>
      <c r="B629" s="34">
        <v>6280</v>
      </c>
      <c r="C629" s="34">
        <v>0.9425</v>
      </c>
      <c r="D629" s="34">
        <v>325.76499999999999</v>
      </c>
      <c r="E629" s="34">
        <v>306.86563000000001</v>
      </c>
      <c r="F629" s="34">
        <v>0</v>
      </c>
      <c r="G629" s="5">
        <f t="shared" si="9"/>
        <v>0.9057708333333333</v>
      </c>
    </row>
    <row r="630" spans="1:7" x14ac:dyDescent="0.3">
      <c r="A630" s="33">
        <v>46003.522534722222</v>
      </c>
      <c r="B630" s="34">
        <v>6290</v>
      </c>
      <c r="C630" s="34">
        <v>0.94</v>
      </c>
      <c r="D630" s="34">
        <v>325.26510000000002</v>
      </c>
      <c r="E630" s="34">
        <v>306.24065999999999</v>
      </c>
      <c r="F630" s="34">
        <v>0</v>
      </c>
      <c r="G630" s="5">
        <f t="shared" si="9"/>
        <v>0.90420847222222223</v>
      </c>
    </row>
    <row r="631" spans="1:7" x14ac:dyDescent="0.3">
      <c r="A631" s="33">
        <v>46003.522650462961</v>
      </c>
      <c r="B631" s="34">
        <v>6300</v>
      </c>
      <c r="C631" s="34">
        <v>0.94</v>
      </c>
      <c r="D631" s="34">
        <v>324.81509999999997</v>
      </c>
      <c r="E631" s="34">
        <v>304.99068999999997</v>
      </c>
      <c r="F631" s="34">
        <v>0</v>
      </c>
      <c r="G631" s="5">
        <f t="shared" si="9"/>
        <v>0.90288916666666674</v>
      </c>
    </row>
    <row r="632" spans="1:7" x14ac:dyDescent="0.3">
      <c r="A632" s="33">
        <v>46003.522766203707</v>
      </c>
      <c r="B632" s="34">
        <v>6310</v>
      </c>
      <c r="C632" s="34">
        <v>0.93869999999999998</v>
      </c>
      <c r="D632" s="34">
        <v>324.4151</v>
      </c>
      <c r="E632" s="34">
        <v>304.36572000000001</v>
      </c>
      <c r="F632" s="34">
        <v>0</v>
      </c>
      <c r="G632" s="5">
        <f t="shared" si="9"/>
        <v>0.90170861111111111</v>
      </c>
    </row>
    <row r="633" spans="1:7" x14ac:dyDescent="0.3">
      <c r="A633" s="33">
        <v>46003.522881944446</v>
      </c>
      <c r="B633" s="34">
        <v>6320</v>
      </c>
      <c r="C633" s="34">
        <v>0.9375</v>
      </c>
      <c r="D633" s="34">
        <v>324.06509999999997</v>
      </c>
      <c r="E633" s="34">
        <v>304.36572000000001</v>
      </c>
      <c r="F633" s="34">
        <v>0</v>
      </c>
      <c r="G633" s="5">
        <f t="shared" si="9"/>
        <v>0.9006669444444444</v>
      </c>
    </row>
    <row r="634" spans="1:7" x14ac:dyDescent="0.3">
      <c r="A634" s="33">
        <v>46003.522997685184</v>
      </c>
      <c r="B634" s="34">
        <v>6330</v>
      </c>
      <c r="C634" s="34">
        <v>0.93620000000000003</v>
      </c>
      <c r="D634" s="34">
        <v>323.71510000000001</v>
      </c>
      <c r="E634" s="34">
        <v>303.11574999999999</v>
      </c>
      <c r="F634" s="34">
        <v>0</v>
      </c>
      <c r="G634" s="5">
        <f t="shared" si="9"/>
        <v>0.89969472222222213</v>
      </c>
    </row>
    <row r="635" spans="1:7" x14ac:dyDescent="0.3">
      <c r="A635" s="33">
        <v>46003.523113425923</v>
      </c>
      <c r="B635" s="34">
        <v>6340</v>
      </c>
      <c r="C635" s="34">
        <v>0.93500000000000005</v>
      </c>
      <c r="D635" s="34">
        <v>323.4151</v>
      </c>
      <c r="E635" s="34">
        <v>301.86577999999997</v>
      </c>
      <c r="F635" s="34">
        <v>0</v>
      </c>
      <c r="G635" s="5">
        <f t="shared" si="9"/>
        <v>0.89879194444444455</v>
      </c>
    </row>
    <row r="636" spans="1:7" x14ac:dyDescent="0.3">
      <c r="A636" s="33">
        <v>46003.523229166669</v>
      </c>
      <c r="B636" s="34">
        <v>6350</v>
      </c>
      <c r="C636" s="34">
        <v>0.93369999999999997</v>
      </c>
      <c r="D636" s="34">
        <v>323.14010000000002</v>
      </c>
      <c r="E636" s="34">
        <v>301.86577999999997</v>
      </c>
      <c r="F636" s="34">
        <v>0</v>
      </c>
      <c r="G636" s="5">
        <f t="shared" si="9"/>
        <v>0.89799333333333342</v>
      </c>
    </row>
    <row r="637" spans="1:7" x14ac:dyDescent="0.3">
      <c r="A637" s="33">
        <v>46003.523344907408</v>
      </c>
      <c r="B637" s="34">
        <v>6360</v>
      </c>
      <c r="C637" s="34">
        <v>0.93369999999999997</v>
      </c>
      <c r="D637" s="34">
        <v>322.89010000000002</v>
      </c>
      <c r="E637" s="34">
        <v>301.24081000000001</v>
      </c>
      <c r="F637" s="34">
        <v>0</v>
      </c>
      <c r="G637" s="5">
        <f t="shared" si="9"/>
        <v>0.89726416666666675</v>
      </c>
    </row>
    <row r="638" spans="1:7" x14ac:dyDescent="0.3">
      <c r="A638" s="33">
        <v>46003.523460648146</v>
      </c>
      <c r="B638" s="34">
        <v>6370</v>
      </c>
      <c r="C638" s="34">
        <v>0.9325</v>
      </c>
      <c r="D638" s="34">
        <v>322.64010000000002</v>
      </c>
      <c r="E638" s="34">
        <v>301.24081000000001</v>
      </c>
      <c r="F638" s="34">
        <v>0</v>
      </c>
      <c r="G638" s="5">
        <f t="shared" si="9"/>
        <v>0.89656972222222231</v>
      </c>
    </row>
    <row r="639" spans="1:7" x14ac:dyDescent="0.3">
      <c r="A639" s="33">
        <v>46003.523576388892</v>
      </c>
      <c r="B639" s="34">
        <v>6380</v>
      </c>
      <c r="C639" s="34">
        <v>0.9325</v>
      </c>
      <c r="D639" s="34">
        <v>322.4402</v>
      </c>
      <c r="E639" s="34">
        <v>301.24081000000001</v>
      </c>
      <c r="F639" s="34">
        <v>0</v>
      </c>
      <c r="G639" s="5">
        <f t="shared" si="9"/>
        <v>0.89594486111111127</v>
      </c>
    </row>
    <row r="640" spans="1:7" x14ac:dyDescent="0.3">
      <c r="A640" s="33">
        <v>46003.523692129631</v>
      </c>
      <c r="B640" s="34">
        <v>6390</v>
      </c>
      <c r="C640" s="34">
        <v>0.93120000000000003</v>
      </c>
      <c r="D640" s="34">
        <v>322.21510000000001</v>
      </c>
      <c r="E640" s="34">
        <v>299.99083999999999</v>
      </c>
      <c r="F640" s="34">
        <v>0</v>
      </c>
      <c r="G640" s="5">
        <f t="shared" si="9"/>
        <v>0.8953545833333334</v>
      </c>
    </row>
    <row r="641" spans="1:7" x14ac:dyDescent="0.3">
      <c r="A641" s="33">
        <v>46003.52380787037</v>
      </c>
      <c r="B641" s="34">
        <v>6400</v>
      </c>
      <c r="C641" s="34">
        <v>0.93120000000000003</v>
      </c>
      <c r="D641" s="34">
        <v>322.04020000000003</v>
      </c>
      <c r="E641" s="34">
        <v>299.36588</v>
      </c>
      <c r="F641" s="34">
        <v>0</v>
      </c>
      <c r="G641" s="5">
        <f t="shared" si="9"/>
        <v>0.89479902777777787</v>
      </c>
    </row>
    <row r="642" spans="1:7" x14ac:dyDescent="0.3">
      <c r="A642" s="33">
        <v>46003.523923611108</v>
      </c>
      <c r="B642" s="34">
        <v>6410</v>
      </c>
      <c r="C642" s="34">
        <v>0.93</v>
      </c>
      <c r="D642" s="34">
        <v>321.84019999999998</v>
      </c>
      <c r="E642" s="34">
        <v>298.74088</v>
      </c>
      <c r="F642" s="34">
        <v>0</v>
      </c>
      <c r="G642" s="5">
        <f t="shared" si="9"/>
        <v>0.8942783333333334</v>
      </c>
    </row>
    <row r="643" spans="1:7" x14ac:dyDescent="0.3">
      <c r="A643" s="33">
        <v>46003.524039351854</v>
      </c>
      <c r="B643" s="34">
        <v>6420</v>
      </c>
      <c r="C643" s="34">
        <v>0.93</v>
      </c>
      <c r="D643" s="34">
        <v>321.66520000000003</v>
      </c>
      <c r="E643" s="34">
        <v>298.74088</v>
      </c>
      <c r="F643" s="34">
        <v>0</v>
      </c>
      <c r="G643" s="5">
        <f t="shared" si="9"/>
        <v>0.89375750000000009</v>
      </c>
    </row>
    <row r="644" spans="1:7" x14ac:dyDescent="0.3">
      <c r="A644" s="33">
        <v>46003.524155092593</v>
      </c>
      <c r="B644" s="34">
        <v>6430</v>
      </c>
      <c r="C644" s="34">
        <v>0.92869999999999997</v>
      </c>
      <c r="D644" s="34">
        <v>321.46519999999998</v>
      </c>
      <c r="E644" s="34">
        <v>298.74088</v>
      </c>
      <c r="F644" s="34">
        <v>0</v>
      </c>
      <c r="G644" s="5">
        <f t="shared" si="9"/>
        <v>0.89323666666666668</v>
      </c>
    </row>
    <row r="645" spans="1:7" x14ac:dyDescent="0.3">
      <c r="A645" s="33">
        <v>46003.524270833332</v>
      </c>
      <c r="B645" s="34">
        <v>6440</v>
      </c>
      <c r="C645" s="34">
        <v>0.92869999999999997</v>
      </c>
      <c r="D645" s="34">
        <v>321.29020000000003</v>
      </c>
      <c r="E645" s="34">
        <v>298.11590999999999</v>
      </c>
      <c r="F645" s="34">
        <v>0</v>
      </c>
      <c r="G645" s="5">
        <f t="shared" si="9"/>
        <v>0.89271583333333338</v>
      </c>
    </row>
    <row r="646" spans="1:7" x14ac:dyDescent="0.3">
      <c r="A646" s="33">
        <v>46003.524386574078</v>
      </c>
      <c r="B646" s="34">
        <v>6450</v>
      </c>
      <c r="C646" s="34">
        <v>0.92869999999999997</v>
      </c>
      <c r="D646" s="34">
        <v>321.11520000000002</v>
      </c>
      <c r="E646" s="34">
        <v>298.11590999999999</v>
      </c>
      <c r="F646" s="34">
        <v>0</v>
      </c>
      <c r="G646" s="5">
        <f t="shared" si="9"/>
        <v>0.89222972222222241</v>
      </c>
    </row>
    <row r="647" spans="1:7" x14ac:dyDescent="0.3">
      <c r="A647" s="33">
        <v>46003.524502314816</v>
      </c>
      <c r="B647" s="34">
        <v>6460</v>
      </c>
      <c r="C647" s="34">
        <v>0.92869999999999997</v>
      </c>
      <c r="D647" s="34">
        <v>320.96519999999998</v>
      </c>
      <c r="E647" s="34">
        <v>298.11590999999999</v>
      </c>
      <c r="F647" s="34">
        <v>0</v>
      </c>
      <c r="G647" s="5">
        <f t="shared" ref="G647:G710" si="10">($B$2/3600)*((D646+D647)/2)</f>
        <v>0.89177833333333345</v>
      </c>
    </row>
    <row r="648" spans="1:7" x14ac:dyDescent="0.3">
      <c r="A648" s="33">
        <v>46003.524618055555</v>
      </c>
      <c r="B648" s="34">
        <v>6470</v>
      </c>
      <c r="C648" s="34">
        <v>0.92749999999999999</v>
      </c>
      <c r="D648" s="34">
        <v>320.8152</v>
      </c>
      <c r="E648" s="34">
        <v>298.11590999999999</v>
      </c>
      <c r="F648" s="34">
        <v>0</v>
      </c>
      <c r="G648" s="5">
        <f t="shared" si="10"/>
        <v>0.89136166666666672</v>
      </c>
    </row>
    <row r="649" spans="1:7" x14ac:dyDescent="0.3">
      <c r="A649" s="33">
        <v>46003.524733796294</v>
      </c>
      <c r="B649" s="34">
        <v>6480</v>
      </c>
      <c r="C649" s="34">
        <v>0.92620000000000002</v>
      </c>
      <c r="D649" s="34">
        <v>320.64019999999999</v>
      </c>
      <c r="E649" s="34">
        <v>296.86594000000002</v>
      </c>
      <c r="F649" s="34">
        <v>0</v>
      </c>
      <c r="G649" s="5">
        <f t="shared" si="10"/>
        <v>0.89091027777777787</v>
      </c>
    </row>
    <row r="650" spans="1:7" x14ac:dyDescent="0.3">
      <c r="A650" s="33">
        <v>46003.52484953704</v>
      </c>
      <c r="B650" s="34">
        <v>6490</v>
      </c>
      <c r="C650" s="34">
        <v>0.92620000000000002</v>
      </c>
      <c r="D650" s="34">
        <v>320.49020000000002</v>
      </c>
      <c r="E650" s="34">
        <v>296.86594000000002</v>
      </c>
      <c r="F650" s="34">
        <v>0</v>
      </c>
      <c r="G650" s="5">
        <f t="shared" si="10"/>
        <v>0.89045888888888891</v>
      </c>
    </row>
    <row r="651" spans="1:7" x14ac:dyDescent="0.3">
      <c r="A651" s="33">
        <v>46003.524965277778</v>
      </c>
      <c r="B651" s="34">
        <v>6500</v>
      </c>
      <c r="C651" s="34">
        <v>0.92620000000000002</v>
      </c>
      <c r="D651" s="34">
        <v>320.3152</v>
      </c>
      <c r="E651" s="34">
        <v>296.86594000000002</v>
      </c>
      <c r="F651" s="34">
        <v>0</v>
      </c>
      <c r="G651" s="5">
        <f t="shared" si="10"/>
        <v>0.89000749999999995</v>
      </c>
    </row>
    <row r="652" spans="1:7" x14ac:dyDescent="0.3">
      <c r="A652" s="33">
        <v>46003.525081018517</v>
      </c>
      <c r="B652" s="34">
        <v>6510</v>
      </c>
      <c r="C652" s="34">
        <v>0.92500000000000004</v>
      </c>
      <c r="D652" s="34">
        <v>320.14019999999999</v>
      </c>
      <c r="E652" s="34">
        <v>296.24097</v>
      </c>
      <c r="F652" s="34">
        <v>0</v>
      </c>
      <c r="G652" s="5">
        <f t="shared" si="10"/>
        <v>0.88952138888888899</v>
      </c>
    </row>
    <row r="653" spans="1:7" x14ac:dyDescent="0.3">
      <c r="A653" s="33">
        <v>46003.525196759256</v>
      </c>
      <c r="B653" s="34">
        <v>6520</v>
      </c>
      <c r="C653" s="34">
        <v>1.1812</v>
      </c>
      <c r="D653" s="34">
        <v>0</v>
      </c>
      <c r="E653" s="34">
        <v>0</v>
      </c>
      <c r="F653" s="34">
        <v>1</v>
      </c>
      <c r="G653" s="5">
        <f t="shared" si="10"/>
        <v>0.4446391666666667</v>
      </c>
    </row>
    <row r="654" spans="1:7" x14ac:dyDescent="0.3">
      <c r="A654" s="33">
        <v>46003.525312500002</v>
      </c>
      <c r="B654" s="34">
        <v>6530</v>
      </c>
      <c r="C654" s="34">
        <v>1.1912</v>
      </c>
      <c r="D654" s="34">
        <v>0</v>
      </c>
      <c r="E654" s="34">
        <v>0</v>
      </c>
      <c r="F654" s="34">
        <v>1</v>
      </c>
      <c r="G654" s="5">
        <f t="shared" si="10"/>
        <v>0</v>
      </c>
    </row>
    <row r="655" spans="1:7" x14ac:dyDescent="0.3">
      <c r="A655" s="33">
        <v>46003.52542824074</v>
      </c>
      <c r="B655" s="34">
        <v>6540</v>
      </c>
      <c r="C655" s="34">
        <v>1.1988000000000001</v>
      </c>
      <c r="D655" s="34">
        <v>0</v>
      </c>
      <c r="E655" s="34">
        <v>0</v>
      </c>
      <c r="F655" s="34">
        <v>1</v>
      </c>
      <c r="G655" s="5">
        <f t="shared" si="10"/>
        <v>0</v>
      </c>
    </row>
    <row r="656" spans="1:7" x14ac:dyDescent="0.3">
      <c r="A656" s="33">
        <v>46003.525543981479</v>
      </c>
      <c r="B656" s="34">
        <v>6550</v>
      </c>
      <c r="C656" s="34">
        <v>1.2024999999999999</v>
      </c>
      <c r="D656" s="34">
        <v>0</v>
      </c>
      <c r="E656" s="34">
        <v>0</v>
      </c>
      <c r="F656" s="34">
        <v>1</v>
      </c>
      <c r="G656" s="5">
        <f t="shared" si="10"/>
        <v>0</v>
      </c>
    </row>
    <row r="657" spans="1:7" x14ac:dyDescent="0.3">
      <c r="A657" s="33">
        <v>46003.525659722225</v>
      </c>
      <c r="B657" s="34">
        <v>6560</v>
      </c>
      <c r="C657" s="34">
        <v>1.2075</v>
      </c>
      <c r="D657" s="34">
        <v>0</v>
      </c>
      <c r="E657" s="34">
        <v>0</v>
      </c>
      <c r="F657" s="34">
        <v>1</v>
      </c>
      <c r="G657" s="5">
        <f t="shared" si="10"/>
        <v>0</v>
      </c>
    </row>
    <row r="658" spans="1:7" x14ac:dyDescent="0.3">
      <c r="A658" s="33">
        <v>46003.525775462964</v>
      </c>
      <c r="B658" s="34">
        <v>6570</v>
      </c>
      <c r="C658" s="34">
        <v>1.21</v>
      </c>
      <c r="D658" s="34">
        <v>0</v>
      </c>
      <c r="E658" s="34">
        <v>0</v>
      </c>
      <c r="F658" s="34">
        <v>1</v>
      </c>
      <c r="G658" s="5">
        <f t="shared" si="10"/>
        <v>0</v>
      </c>
    </row>
    <row r="659" spans="1:7" x14ac:dyDescent="0.3">
      <c r="A659" s="33">
        <v>46003.525891203702</v>
      </c>
      <c r="B659" s="34">
        <v>6580</v>
      </c>
      <c r="C659" s="34">
        <v>1.2138</v>
      </c>
      <c r="D659" s="34">
        <v>0</v>
      </c>
      <c r="E659" s="34">
        <v>0</v>
      </c>
      <c r="F659" s="34">
        <v>1</v>
      </c>
      <c r="G659" s="5">
        <f t="shared" si="10"/>
        <v>0</v>
      </c>
    </row>
    <row r="660" spans="1:7" x14ac:dyDescent="0.3">
      <c r="A660" s="33">
        <v>46003.526006944441</v>
      </c>
      <c r="B660" s="34">
        <v>6590</v>
      </c>
      <c r="C660" s="34">
        <v>1.2161999999999999</v>
      </c>
      <c r="D660" s="34">
        <v>0</v>
      </c>
      <c r="E660" s="34">
        <v>0</v>
      </c>
      <c r="F660" s="34">
        <v>1</v>
      </c>
      <c r="G660" s="5">
        <f t="shared" si="10"/>
        <v>0</v>
      </c>
    </row>
    <row r="661" spans="1:7" x14ac:dyDescent="0.3">
      <c r="A661" s="33">
        <v>46003.526122685187</v>
      </c>
      <c r="B661" s="34">
        <v>6600</v>
      </c>
      <c r="C661" s="34">
        <v>1.2188000000000001</v>
      </c>
      <c r="D661" s="34">
        <v>0</v>
      </c>
      <c r="E661" s="34">
        <v>0</v>
      </c>
      <c r="F661" s="34">
        <v>1</v>
      </c>
      <c r="G661" s="5">
        <f t="shared" si="10"/>
        <v>0</v>
      </c>
    </row>
    <row r="662" spans="1:7" x14ac:dyDescent="0.3">
      <c r="A662" s="33">
        <v>46003.526238425926</v>
      </c>
      <c r="B662" s="34">
        <v>6610</v>
      </c>
      <c r="C662" s="34">
        <v>0.95620000000000005</v>
      </c>
      <c r="D662" s="34">
        <v>330.11489999999998</v>
      </c>
      <c r="E662" s="34">
        <v>315.61536000000001</v>
      </c>
      <c r="F662" s="34">
        <v>0</v>
      </c>
      <c r="G662" s="5">
        <f t="shared" si="10"/>
        <v>0.45849291666666664</v>
      </c>
    </row>
    <row r="663" spans="1:7" x14ac:dyDescent="0.3">
      <c r="A663" s="33">
        <v>46003.526354166665</v>
      </c>
      <c r="B663" s="34">
        <v>6620</v>
      </c>
      <c r="C663" s="34">
        <v>0.94750000000000001</v>
      </c>
      <c r="D663" s="34">
        <v>327.49</v>
      </c>
      <c r="E663" s="34">
        <v>309.99054000000001</v>
      </c>
      <c r="F663" s="34">
        <v>0</v>
      </c>
      <c r="G663" s="5">
        <f t="shared" si="10"/>
        <v>0.91334013888888899</v>
      </c>
    </row>
    <row r="664" spans="1:7" x14ac:dyDescent="0.3">
      <c r="A664" s="33">
        <v>46003.526469907411</v>
      </c>
      <c r="B664" s="34">
        <v>6630</v>
      </c>
      <c r="C664" s="34">
        <v>0.9425</v>
      </c>
      <c r="D664" s="34">
        <v>325.86509999999998</v>
      </c>
      <c r="E664" s="34">
        <v>307.49059999999997</v>
      </c>
      <c r="F664" s="34">
        <v>0</v>
      </c>
      <c r="G664" s="5">
        <f t="shared" si="10"/>
        <v>0.90743763888888895</v>
      </c>
    </row>
    <row r="665" spans="1:7" x14ac:dyDescent="0.3">
      <c r="A665" s="33">
        <v>46003.526585648149</v>
      </c>
      <c r="B665" s="34">
        <v>6640</v>
      </c>
      <c r="C665" s="34">
        <v>0.9375</v>
      </c>
      <c r="D665" s="34">
        <v>324.6651</v>
      </c>
      <c r="E665" s="34">
        <v>304.36572000000001</v>
      </c>
      <c r="F665" s="34">
        <v>0</v>
      </c>
      <c r="G665" s="5">
        <f t="shared" si="10"/>
        <v>0.90351416666666662</v>
      </c>
    </row>
    <row r="666" spans="1:7" x14ac:dyDescent="0.3">
      <c r="A666" s="33">
        <v>46003.526701388888</v>
      </c>
      <c r="B666" s="34">
        <v>6650</v>
      </c>
      <c r="C666" s="34">
        <v>0.93620000000000003</v>
      </c>
      <c r="D666" s="34">
        <v>323.74009999999998</v>
      </c>
      <c r="E666" s="34">
        <v>303.11574999999999</v>
      </c>
      <c r="F666" s="34">
        <v>0</v>
      </c>
      <c r="G666" s="5">
        <f t="shared" si="10"/>
        <v>0.90056277777777771</v>
      </c>
    </row>
    <row r="667" spans="1:7" x14ac:dyDescent="0.3">
      <c r="A667" s="33">
        <v>46003.526817129627</v>
      </c>
      <c r="B667" s="34">
        <v>6660</v>
      </c>
      <c r="C667" s="34">
        <v>0.93369999999999997</v>
      </c>
      <c r="D667" s="34">
        <v>322.96510000000001</v>
      </c>
      <c r="E667" s="34">
        <v>301.24081000000001</v>
      </c>
      <c r="F667" s="34">
        <v>0</v>
      </c>
      <c r="G667" s="5">
        <f t="shared" si="10"/>
        <v>0.89820166666666668</v>
      </c>
    </row>
    <row r="668" spans="1:7" x14ac:dyDescent="0.3">
      <c r="A668" s="33">
        <v>46003.526932870373</v>
      </c>
      <c r="B668" s="34">
        <v>6670</v>
      </c>
      <c r="C668" s="34">
        <v>0.93120000000000003</v>
      </c>
      <c r="D668" s="34">
        <v>322.34010000000001</v>
      </c>
      <c r="E668" s="34">
        <v>299.99083999999999</v>
      </c>
      <c r="F668" s="34">
        <v>0</v>
      </c>
      <c r="G668" s="5">
        <f t="shared" si="10"/>
        <v>0.89625722222222226</v>
      </c>
    </row>
    <row r="669" spans="1:7" x14ac:dyDescent="0.3">
      <c r="A669" s="33">
        <v>46003.527048611111</v>
      </c>
      <c r="B669" s="34">
        <v>6680</v>
      </c>
      <c r="C669" s="34">
        <v>0.93</v>
      </c>
      <c r="D669" s="34">
        <v>321.8152</v>
      </c>
      <c r="E669" s="34">
        <v>298.74088</v>
      </c>
      <c r="F669" s="34">
        <v>0</v>
      </c>
      <c r="G669" s="5">
        <f t="shared" si="10"/>
        <v>0.89466013888888896</v>
      </c>
    </row>
    <row r="670" spans="1:7" x14ac:dyDescent="0.3">
      <c r="A670" s="33">
        <v>46003.52716435185</v>
      </c>
      <c r="B670" s="34">
        <v>6690</v>
      </c>
      <c r="C670" s="34">
        <v>0.92869999999999997</v>
      </c>
      <c r="D670" s="34">
        <v>321.34019999999998</v>
      </c>
      <c r="E670" s="34">
        <v>298.11590999999999</v>
      </c>
      <c r="F670" s="34">
        <v>0</v>
      </c>
      <c r="G670" s="5">
        <f t="shared" si="10"/>
        <v>0.89327138888888891</v>
      </c>
    </row>
    <row r="671" spans="1:7" x14ac:dyDescent="0.3">
      <c r="A671" s="33">
        <v>46003.527280092596</v>
      </c>
      <c r="B671" s="34">
        <v>6700</v>
      </c>
      <c r="C671" s="34">
        <v>0.92749999999999999</v>
      </c>
      <c r="D671" s="34">
        <v>320.9402</v>
      </c>
      <c r="E671" s="34">
        <v>298.11590999999999</v>
      </c>
      <c r="F671" s="34">
        <v>0</v>
      </c>
      <c r="G671" s="5">
        <f t="shared" si="10"/>
        <v>0.89205611111111116</v>
      </c>
    </row>
    <row r="672" spans="1:7" x14ac:dyDescent="0.3">
      <c r="A672" s="33">
        <v>46003.527395833335</v>
      </c>
      <c r="B672" s="34">
        <v>6710</v>
      </c>
      <c r="C672" s="34">
        <v>0.92620000000000002</v>
      </c>
      <c r="D672" s="34">
        <v>320.5652</v>
      </c>
      <c r="E672" s="34">
        <v>296.86594000000002</v>
      </c>
      <c r="F672" s="34">
        <v>0</v>
      </c>
      <c r="G672" s="5">
        <f t="shared" si="10"/>
        <v>0.89097972222222221</v>
      </c>
    </row>
    <row r="673" spans="1:7" x14ac:dyDescent="0.3">
      <c r="A673" s="33">
        <v>46003.527511574073</v>
      </c>
      <c r="B673" s="34">
        <v>6720</v>
      </c>
      <c r="C673" s="34">
        <v>0.92500000000000004</v>
      </c>
      <c r="D673" s="34">
        <v>320.24020000000002</v>
      </c>
      <c r="E673" s="34">
        <v>296.24097</v>
      </c>
      <c r="F673" s="34">
        <v>0</v>
      </c>
      <c r="G673" s="5">
        <f t="shared" si="10"/>
        <v>0.89000749999999995</v>
      </c>
    </row>
    <row r="674" spans="1:7" x14ac:dyDescent="0.3">
      <c r="A674" s="33">
        <v>46003.527627314812</v>
      </c>
      <c r="B674" s="34">
        <v>6730</v>
      </c>
      <c r="C674" s="34">
        <v>0.92369999999999997</v>
      </c>
      <c r="D674" s="34">
        <v>319.9402</v>
      </c>
      <c r="E674" s="34">
        <v>296.24097</v>
      </c>
      <c r="F674" s="34">
        <v>0</v>
      </c>
      <c r="G674" s="5">
        <f t="shared" si="10"/>
        <v>0.88913944444444448</v>
      </c>
    </row>
    <row r="675" spans="1:7" x14ac:dyDescent="0.3">
      <c r="A675" s="33">
        <v>46003.527743055558</v>
      </c>
      <c r="B675" s="34">
        <v>6740</v>
      </c>
      <c r="C675" s="34">
        <v>0.92369999999999997</v>
      </c>
      <c r="D675" s="34">
        <v>319.66520000000003</v>
      </c>
      <c r="E675" s="34">
        <v>294.99099999999999</v>
      </c>
      <c r="F675" s="34">
        <v>0</v>
      </c>
      <c r="G675" s="5">
        <f t="shared" si="10"/>
        <v>0.88834083333333336</v>
      </c>
    </row>
    <row r="676" spans="1:7" x14ac:dyDescent="0.3">
      <c r="A676" s="33">
        <v>46003.527858796297</v>
      </c>
      <c r="B676" s="34">
        <v>6750</v>
      </c>
      <c r="C676" s="34">
        <v>0.92249999999999999</v>
      </c>
      <c r="D676" s="34">
        <v>319.36520000000002</v>
      </c>
      <c r="E676" s="34">
        <v>294.99099999999999</v>
      </c>
      <c r="F676" s="34">
        <v>0</v>
      </c>
      <c r="G676" s="5">
        <f t="shared" si="10"/>
        <v>0.88754222222222234</v>
      </c>
    </row>
    <row r="677" spans="1:7" x14ac:dyDescent="0.3">
      <c r="A677" s="33">
        <v>46003.527974537035</v>
      </c>
      <c r="B677" s="34">
        <v>6760</v>
      </c>
      <c r="C677" s="34">
        <v>0.92120000000000002</v>
      </c>
      <c r="D677" s="34">
        <v>319.11529999999999</v>
      </c>
      <c r="E677" s="34">
        <v>293.74103000000002</v>
      </c>
      <c r="F677" s="34">
        <v>0</v>
      </c>
      <c r="G677" s="5">
        <f t="shared" si="10"/>
        <v>0.88677847222222228</v>
      </c>
    </row>
    <row r="678" spans="1:7" x14ac:dyDescent="0.3">
      <c r="A678" s="33">
        <v>46003.528090277781</v>
      </c>
      <c r="B678" s="34">
        <v>6770</v>
      </c>
      <c r="C678" s="34">
        <v>0.92120000000000002</v>
      </c>
      <c r="D678" s="34">
        <v>318.89030000000002</v>
      </c>
      <c r="E678" s="34">
        <v>293.74103000000002</v>
      </c>
      <c r="F678" s="34">
        <v>0</v>
      </c>
      <c r="G678" s="5">
        <f t="shared" si="10"/>
        <v>0.8861188888888889</v>
      </c>
    </row>
    <row r="679" spans="1:7" x14ac:dyDescent="0.3">
      <c r="A679" s="33">
        <v>46003.52820601852</v>
      </c>
      <c r="B679" s="34">
        <v>6780</v>
      </c>
      <c r="C679" s="34">
        <v>0.92</v>
      </c>
      <c r="D679" s="34">
        <v>318.6653</v>
      </c>
      <c r="E679" s="34">
        <v>293.11606</v>
      </c>
      <c r="F679" s="34">
        <v>0</v>
      </c>
      <c r="G679" s="5">
        <f t="shared" si="10"/>
        <v>0.88549388888888891</v>
      </c>
    </row>
    <row r="680" spans="1:7" x14ac:dyDescent="0.3">
      <c r="A680" s="33">
        <v>46003.528321759259</v>
      </c>
      <c r="B680" s="34">
        <v>6790</v>
      </c>
      <c r="C680" s="34">
        <v>0.92120000000000002</v>
      </c>
      <c r="D680" s="34">
        <v>318.44029999999998</v>
      </c>
      <c r="E680" s="34">
        <v>293.11606</v>
      </c>
      <c r="F680" s="34">
        <v>0</v>
      </c>
      <c r="G680" s="5">
        <f t="shared" si="10"/>
        <v>0.88486888888888893</v>
      </c>
    </row>
    <row r="681" spans="1:7" x14ac:dyDescent="0.3">
      <c r="A681" s="33">
        <v>46003.528437499997</v>
      </c>
      <c r="B681" s="34">
        <v>6800</v>
      </c>
      <c r="C681" s="34">
        <v>0.91869999999999996</v>
      </c>
      <c r="D681" s="34">
        <v>318.24029999999999</v>
      </c>
      <c r="E681" s="34">
        <v>292.49108999999999</v>
      </c>
      <c r="F681" s="34">
        <v>0</v>
      </c>
      <c r="G681" s="5">
        <f t="shared" si="10"/>
        <v>0.88427861111111106</v>
      </c>
    </row>
    <row r="682" spans="1:7" x14ac:dyDescent="0.3">
      <c r="A682" s="33">
        <v>46003.528553240743</v>
      </c>
      <c r="B682" s="34">
        <v>6810</v>
      </c>
      <c r="C682" s="34">
        <v>0.92</v>
      </c>
      <c r="D682" s="34">
        <v>318.0403</v>
      </c>
      <c r="E682" s="34">
        <v>291.86608999999999</v>
      </c>
      <c r="F682" s="34">
        <v>0</v>
      </c>
      <c r="G682" s="5">
        <f t="shared" si="10"/>
        <v>0.88372305555555564</v>
      </c>
    </row>
    <row r="683" spans="1:7" x14ac:dyDescent="0.3">
      <c r="A683" s="33">
        <v>46003.528668981482</v>
      </c>
      <c r="B683" s="34">
        <v>6820</v>
      </c>
      <c r="C683" s="34">
        <v>0.92</v>
      </c>
      <c r="D683" s="34">
        <v>317.86529999999999</v>
      </c>
      <c r="E683" s="34">
        <v>292.49108999999999</v>
      </c>
      <c r="F683" s="34">
        <v>0</v>
      </c>
      <c r="G683" s="5">
        <f t="shared" si="10"/>
        <v>0.88320222222222233</v>
      </c>
    </row>
    <row r="684" spans="1:7" x14ac:dyDescent="0.3">
      <c r="A684" s="33">
        <v>46003.528784722221</v>
      </c>
      <c r="B684" s="34">
        <v>6830</v>
      </c>
      <c r="C684" s="34">
        <v>0.91869999999999996</v>
      </c>
      <c r="D684" s="34">
        <v>317.69029999999998</v>
      </c>
      <c r="E684" s="34">
        <v>291.86608999999999</v>
      </c>
      <c r="F684" s="34">
        <v>0</v>
      </c>
      <c r="G684" s="5">
        <f t="shared" si="10"/>
        <v>0.88271611111111103</v>
      </c>
    </row>
    <row r="685" spans="1:7" x14ac:dyDescent="0.3">
      <c r="A685" s="33">
        <v>46003.528912037036</v>
      </c>
      <c r="B685" s="34">
        <v>6840</v>
      </c>
      <c r="C685" s="34">
        <v>0.91869999999999996</v>
      </c>
      <c r="D685" s="34">
        <v>317.51530000000002</v>
      </c>
      <c r="E685" s="34">
        <v>291.86608999999999</v>
      </c>
      <c r="F685" s="34">
        <v>0</v>
      </c>
      <c r="G685" s="5">
        <f t="shared" si="10"/>
        <v>0.88223000000000007</v>
      </c>
    </row>
    <row r="686" spans="1:7" x14ac:dyDescent="0.3">
      <c r="A686" s="33">
        <v>46003.529027777775</v>
      </c>
      <c r="B686" s="34">
        <v>6850</v>
      </c>
      <c r="C686" s="34">
        <v>0.91749999999999998</v>
      </c>
      <c r="D686" s="34">
        <v>317.36529999999999</v>
      </c>
      <c r="E686" s="34">
        <v>290.61612000000002</v>
      </c>
      <c r="F686" s="34">
        <v>0</v>
      </c>
      <c r="G686" s="5">
        <f t="shared" si="10"/>
        <v>0.88177861111111111</v>
      </c>
    </row>
    <row r="687" spans="1:7" x14ac:dyDescent="0.3">
      <c r="A687" s="33">
        <v>46003.529143518521</v>
      </c>
      <c r="B687" s="34">
        <v>6860</v>
      </c>
      <c r="C687" s="34">
        <v>0.91620000000000001</v>
      </c>
      <c r="D687" s="34">
        <v>317.1653</v>
      </c>
      <c r="E687" s="34">
        <v>290.61612000000002</v>
      </c>
      <c r="F687" s="34">
        <v>0</v>
      </c>
      <c r="G687" s="5">
        <f t="shared" si="10"/>
        <v>0.88129250000000015</v>
      </c>
    </row>
    <row r="688" spans="1:7" x14ac:dyDescent="0.3">
      <c r="A688" s="33">
        <v>46003.52925925926</v>
      </c>
      <c r="B688" s="34">
        <v>6870</v>
      </c>
      <c r="C688" s="34">
        <v>0.91620000000000001</v>
      </c>
      <c r="D688" s="34">
        <v>317.01530000000002</v>
      </c>
      <c r="E688" s="34">
        <v>290.61612000000002</v>
      </c>
      <c r="F688" s="34">
        <v>0</v>
      </c>
      <c r="G688" s="5">
        <f t="shared" si="10"/>
        <v>0.88080638888888896</v>
      </c>
    </row>
    <row r="689" spans="1:7" x14ac:dyDescent="0.3">
      <c r="A689" s="33">
        <v>46003.529374999998</v>
      </c>
      <c r="B689" s="34">
        <v>6880</v>
      </c>
      <c r="C689" s="34">
        <v>0.91620000000000001</v>
      </c>
      <c r="D689" s="34">
        <v>316.81529999999998</v>
      </c>
      <c r="E689" s="34">
        <v>289.99115</v>
      </c>
      <c r="F689" s="34">
        <v>0</v>
      </c>
      <c r="G689" s="5">
        <f t="shared" si="10"/>
        <v>0.88032027777777777</v>
      </c>
    </row>
    <row r="690" spans="1:7" x14ac:dyDescent="0.3">
      <c r="A690" s="33">
        <v>46003.529490740744</v>
      </c>
      <c r="B690" s="34">
        <v>6890</v>
      </c>
      <c r="C690" s="34">
        <v>0.91500000000000004</v>
      </c>
      <c r="D690" s="34">
        <v>316.6653</v>
      </c>
      <c r="E690" s="34">
        <v>289.99115</v>
      </c>
      <c r="F690" s="34">
        <v>0</v>
      </c>
      <c r="G690" s="5">
        <f t="shared" si="10"/>
        <v>0.87983416666666669</v>
      </c>
    </row>
    <row r="691" spans="1:7" x14ac:dyDescent="0.3">
      <c r="A691" s="33">
        <v>46003.529606481483</v>
      </c>
      <c r="B691" s="34">
        <v>6900</v>
      </c>
      <c r="C691" s="34">
        <v>0.91500000000000004</v>
      </c>
      <c r="D691" s="34">
        <v>316.49029999999999</v>
      </c>
      <c r="E691" s="34">
        <v>289.36617999999999</v>
      </c>
      <c r="F691" s="34">
        <v>0</v>
      </c>
      <c r="G691" s="5">
        <f t="shared" si="10"/>
        <v>0.87938277777777785</v>
      </c>
    </row>
    <row r="692" spans="1:7" x14ac:dyDescent="0.3">
      <c r="A692" s="33">
        <v>46003.529722222222</v>
      </c>
      <c r="B692" s="34">
        <v>6910</v>
      </c>
      <c r="C692" s="34">
        <v>1.1725000000000001</v>
      </c>
      <c r="D692" s="34">
        <v>0</v>
      </c>
      <c r="E692" s="34">
        <v>0</v>
      </c>
      <c r="F692" s="34">
        <v>1</v>
      </c>
      <c r="G692" s="5">
        <f t="shared" si="10"/>
        <v>0.43956986111111113</v>
      </c>
    </row>
    <row r="693" spans="1:7" x14ac:dyDescent="0.3">
      <c r="A693" s="33">
        <v>46003.52983796296</v>
      </c>
      <c r="B693" s="34">
        <v>6920</v>
      </c>
      <c r="C693" s="34">
        <v>1.1837</v>
      </c>
      <c r="D693" s="34">
        <v>0</v>
      </c>
      <c r="E693" s="34">
        <v>0</v>
      </c>
      <c r="F693" s="34">
        <v>1</v>
      </c>
      <c r="G693" s="5">
        <f t="shared" si="10"/>
        <v>0</v>
      </c>
    </row>
    <row r="694" spans="1:7" x14ac:dyDescent="0.3">
      <c r="A694" s="33">
        <v>46003.529953703706</v>
      </c>
      <c r="B694" s="34">
        <v>6930</v>
      </c>
      <c r="C694" s="34">
        <v>1.19</v>
      </c>
      <c r="D694" s="34">
        <v>0</v>
      </c>
      <c r="E694" s="34">
        <v>0</v>
      </c>
      <c r="F694" s="34">
        <v>1</v>
      </c>
      <c r="G694" s="5">
        <f t="shared" si="10"/>
        <v>0</v>
      </c>
    </row>
    <row r="695" spans="1:7" x14ac:dyDescent="0.3">
      <c r="A695" s="33">
        <v>46003.530069444445</v>
      </c>
      <c r="B695" s="34">
        <v>6940</v>
      </c>
      <c r="C695" s="34">
        <v>1.1961999999999999</v>
      </c>
      <c r="D695" s="34">
        <v>0</v>
      </c>
      <c r="E695" s="34">
        <v>0</v>
      </c>
      <c r="F695" s="34">
        <v>1</v>
      </c>
      <c r="G695" s="5">
        <f t="shared" si="10"/>
        <v>0</v>
      </c>
    </row>
    <row r="696" spans="1:7" x14ac:dyDescent="0.3">
      <c r="A696" s="33">
        <v>46003.530185185184</v>
      </c>
      <c r="B696" s="34">
        <v>6950</v>
      </c>
      <c r="C696" s="34">
        <v>1.1988000000000001</v>
      </c>
      <c r="D696" s="34">
        <v>0</v>
      </c>
      <c r="E696" s="34">
        <v>0</v>
      </c>
      <c r="F696" s="34">
        <v>1</v>
      </c>
      <c r="G696" s="5">
        <f t="shared" si="10"/>
        <v>0</v>
      </c>
    </row>
    <row r="697" spans="1:7" x14ac:dyDescent="0.3">
      <c r="A697" s="33">
        <v>46003.530300925922</v>
      </c>
      <c r="B697" s="34">
        <v>6960</v>
      </c>
      <c r="C697" s="34">
        <v>1.2024999999999999</v>
      </c>
      <c r="D697" s="34">
        <v>0</v>
      </c>
      <c r="E697" s="34">
        <v>0</v>
      </c>
      <c r="F697" s="34">
        <v>1</v>
      </c>
      <c r="G697" s="5">
        <f t="shared" si="10"/>
        <v>0</v>
      </c>
    </row>
    <row r="698" spans="1:7" x14ac:dyDescent="0.3">
      <c r="A698" s="33">
        <v>46003.530416666668</v>
      </c>
      <c r="B698" s="34">
        <v>6970</v>
      </c>
      <c r="C698" s="34">
        <v>1.2061999999999999</v>
      </c>
      <c r="D698" s="34">
        <v>0</v>
      </c>
      <c r="E698" s="34">
        <v>0</v>
      </c>
      <c r="F698" s="34">
        <v>1</v>
      </c>
      <c r="G698" s="5">
        <f t="shared" si="10"/>
        <v>0</v>
      </c>
    </row>
    <row r="699" spans="1:7" x14ac:dyDescent="0.3">
      <c r="A699" s="33">
        <v>46003.530532407407</v>
      </c>
      <c r="B699" s="34">
        <v>6980</v>
      </c>
      <c r="C699" s="34">
        <v>1.2088000000000001</v>
      </c>
      <c r="D699" s="34">
        <v>0</v>
      </c>
      <c r="E699" s="34">
        <v>0</v>
      </c>
      <c r="F699" s="34">
        <v>1</v>
      </c>
      <c r="G699" s="5">
        <f t="shared" si="10"/>
        <v>0</v>
      </c>
    </row>
    <row r="700" spans="1:7" x14ac:dyDescent="0.3">
      <c r="A700" s="33">
        <v>46003.530648148146</v>
      </c>
      <c r="B700" s="34">
        <v>6990</v>
      </c>
      <c r="C700" s="34">
        <v>1.2112000000000001</v>
      </c>
      <c r="D700" s="34">
        <v>0</v>
      </c>
      <c r="E700" s="34">
        <v>0</v>
      </c>
      <c r="F700" s="34">
        <v>1</v>
      </c>
      <c r="G700" s="5">
        <f t="shared" si="10"/>
        <v>0</v>
      </c>
    </row>
    <row r="701" spans="1:7" x14ac:dyDescent="0.3">
      <c r="A701" s="33">
        <v>46003.530763888892</v>
      </c>
      <c r="B701" s="34">
        <v>7000</v>
      </c>
      <c r="C701" s="34">
        <v>0.94499999999999995</v>
      </c>
      <c r="D701" s="34">
        <v>326.79000000000002</v>
      </c>
      <c r="E701" s="34">
        <v>309.36556999999999</v>
      </c>
      <c r="F701" s="34">
        <v>0</v>
      </c>
      <c r="G701" s="5">
        <f t="shared" si="10"/>
        <v>0.45387500000000003</v>
      </c>
    </row>
    <row r="702" spans="1:7" x14ac:dyDescent="0.3">
      <c r="A702" s="33">
        <v>46003.53087962963</v>
      </c>
      <c r="B702" s="34">
        <v>7010</v>
      </c>
      <c r="C702" s="34">
        <v>0.9375</v>
      </c>
      <c r="D702" s="34">
        <v>324.09010000000001</v>
      </c>
      <c r="E702" s="34">
        <v>304.36572000000001</v>
      </c>
      <c r="F702" s="34">
        <v>0</v>
      </c>
      <c r="G702" s="5">
        <f t="shared" si="10"/>
        <v>0.90400013888888908</v>
      </c>
    </row>
    <row r="703" spans="1:7" x14ac:dyDescent="0.3">
      <c r="A703" s="33">
        <v>46003.530995370369</v>
      </c>
      <c r="B703" s="34">
        <v>7020</v>
      </c>
      <c r="C703" s="34">
        <v>0.9325</v>
      </c>
      <c r="D703" s="34">
        <v>322.41520000000003</v>
      </c>
      <c r="E703" s="34">
        <v>300.61581000000001</v>
      </c>
      <c r="F703" s="34">
        <v>0</v>
      </c>
      <c r="G703" s="5">
        <f t="shared" si="10"/>
        <v>0.89792402777777791</v>
      </c>
    </row>
    <row r="704" spans="1:7" x14ac:dyDescent="0.3">
      <c r="A704" s="33">
        <v>46003.531111111108</v>
      </c>
      <c r="B704" s="34">
        <v>7030</v>
      </c>
      <c r="C704" s="34">
        <v>0.92869999999999997</v>
      </c>
      <c r="D704" s="34">
        <v>321.21519999999998</v>
      </c>
      <c r="E704" s="34">
        <v>298.11590999999999</v>
      </c>
      <c r="F704" s="34">
        <v>0</v>
      </c>
      <c r="G704" s="5">
        <f t="shared" si="10"/>
        <v>0.89393111111111112</v>
      </c>
    </row>
    <row r="705" spans="1:7" x14ac:dyDescent="0.3">
      <c r="A705" s="33">
        <v>46003.531226851854</v>
      </c>
      <c r="B705" s="34">
        <v>7040</v>
      </c>
      <c r="C705" s="34">
        <v>0.92500000000000004</v>
      </c>
      <c r="D705" s="34">
        <v>320.24020000000002</v>
      </c>
      <c r="E705" s="34">
        <v>296.24097</v>
      </c>
      <c r="F705" s="34">
        <v>0</v>
      </c>
      <c r="G705" s="5">
        <f t="shared" si="10"/>
        <v>0.89091027777777787</v>
      </c>
    </row>
    <row r="706" spans="1:7" x14ac:dyDescent="0.3">
      <c r="A706" s="33">
        <v>46003.531342592592</v>
      </c>
      <c r="B706" s="34">
        <v>7050</v>
      </c>
      <c r="C706" s="34">
        <v>0.92249999999999999</v>
      </c>
      <c r="D706" s="34">
        <v>319.46519999999998</v>
      </c>
      <c r="E706" s="34">
        <v>294.99099999999999</v>
      </c>
      <c r="F706" s="34">
        <v>0</v>
      </c>
      <c r="G706" s="5">
        <f t="shared" si="10"/>
        <v>0.88847972222222238</v>
      </c>
    </row>
    <row r="707" spans="1:7" x14ac:dyDescent="0.3">
      <c r="A707" s="33">
        <v>46003.531458333331</v>
      </c>
      <c r="B707" s="34">
        <v>7060</v>
      </c>
      <c r="C707" s="34">
        <v>0.92</v>
      </c>
      <c r="D707" s="34">
        <v>318.8152</v>
      </c>
      <c r="E707" s="34">
        <v>293.11606</v>
      </c>
      <c r="F707" s="34">
        <v>0</v>
      </c>
      <c r="G707" s="5">
        <f t="shared" si="10"/>
        <v>0.88650055555555562</v>
      </c>
    </row>
    <row r="708" spans="1:7" x14ac:dyDescent="0.3">
      <c r="A708" s="33">
        <v>46003.531574074077</v>
      </c>
      <c r="B708" s="34">
        <v>7070</v>
      </c>
      <c r="C708" s="34">
        <v>0.91869999999999996</v>
      </c>
      <c r="D708" s="34">
        <v>318.2903</v>
      </c>
      <c r="E708" s="34">
        <v>292.49108999999999</v>
      </c>
      <c r="F708" s="34">
        <v>0</v>
      </c>
      <c r="G708" s="5">
        <f t="shared" si="10"/>
        <v>0.88486875000000009</v>
      </c>
    </row>
    <row r="709" spans="1:7" x14ac:dyDescent="0.3">
      <c r="A709" s="33">
        <v>46003.531689814816</v>
      </c>
      <c r="B709" s="34">
        <v>7080</v>
      </c>
      <c r="C709" s="34">
        <v>0.91869999999999996</v>
      </c>
      <c r="D709" s="34">
        <v>317.81529999999998</v>
      </c>
      <c r="E709" s="34">
        <v>291.86608999999999</v>
      </c>
      <c r="F709" s="34">
        <v>0</v>
      </c>
      <c r="G709" s="5">
        <f t="shared" si="10"/>
        <v>0.88348000000000004</v>
      </c>
    </row>
    <row r="710" spans="1:7" x14ac:dyDescent="0.3">
      <c r="A710" s="33">
        <v>46003.531805555554</v>
      </c>
      <c r="B710" s="34">
        <v>7090</v>
      </c>
      <c r="C710" s="34">
        <v>0.91749999999999998</v>
      </c>
      <c r="D710" s="34">
        <v>317.39030000000002</v>
      </c>
      <c r="E710" s="34">
        <v>290.61612000000002</v>
      </c>
      <c r="F710" s="34">
        <v>0</v>
      </c>
      <c r="G710" s="5">
        <f t="shared" si="10"/>
        <v>0.88223000000000007</v>
      </c>
    </row>
    <row r="711" spans="1:7" x14ac:dyDescent="0.3">
      <c r="A711" s="33">
        <v>46003.531921296293</v>
      </c>
      <c r="B711" s="34">
        <v>7100</v>
      </c>
      <c r="C711" s="34">
        <v>0.91620000000000001</v>
      </c>
      <c r="D711" s="34">
        <v>317.01530000000002</v>
      </c>
      <c r="E711" s="34">
        <v>290.61612000000002</v>
      </c>
      <c r="F711" s="34">
        <v>0</v>
      </c>
      <c r="G711" s="5">
        <f t="shared" ref="G711:G774" si="11">($B$2/3600)*((D710+D711)/2)</f>
        <v>0.88111888888888901</v>
      </c>
    </row>
    <row r="712" spans="1:7" x14ac:dyDescent="0.3">
      <c r="A712" s="33">
        <v>46003.532037037039</v>
      </c>
      <c r="B712" s="34">
        <v>7110</v>
      </c>
      <c r="C712" s="34">
        <v>0.91369999999999996</v>
      </c>
      <c r="D712" s="34">
        <v>316.6653</v>
      </c>
      <c r="E712" s="34">
        <v>289.99115</v>
      </c>
      <c r="F712" s="34">
        <v>0</v>
      </c>
      <c r="G712" s="5">
        <f t="shared" si="11"/>
        <v>0.88011194444444452</v>
      </c>
    </row>
    <row r="713" spans="1:7" x14ac:dyDescent="0.3">
      <c r="A713" s="33">
        <v>46003.532152777778</v>
      </c>
      <c r="B713" s="34">
        <v>7120</v>
      </c>
      <c r="C713" s="34">
        <v>0.91369999999999996</v>
      </c>
      <c r="D713" s="34">
        <v>316.36529999999999</v>
      </c>
      <c r="E713" s="34">
        <v>289.36617999999999</v>
      </c>
      <c r="F713" s="34">
        <v>0</v>
      </c>
      <c r="G713" s="5">
        <f t="shared" si="11"/>
        <v>0.87920916666666682</v>
      </c>
    </row>
    <row r="714" spans="1:7" x14ac:dyDescent="0.3">
      <c r="A714" s="33">
        <v>46003.532268518517</v>
      </c>
      <c r="B714" s="34">
        <v>7130</v>
      </c>
      <c r="C714" s="34">
        <v>0.91369999999999996</v>
      </c>
      <c r="D714" s="34">
        <v>316.06529999999998</v>
      </c>
      <c r="E714" s="34">
        <v>288.74117999999999</v>
      </c>
      <c r="F714" s="34">
        <v>0</v>
      </c>
      <c r="G714" s="5">
        <f t="shared" si="11"/>
        <v>0.87837583333333324</v>
      </c>
    </row>
    <row r="715" spans="1:7" x14ac:dyDescent="0.3">
      <c r="A715" s="33">
        <v>46003.532384259262</v>
      </c>
      <c r="B715" s="34">
        <v>7140</v>
      </c>
      <c r="C715" s="34">
        <v>0.91249999999999998</v>
      </c>
      <c r="D715" s="34">
        <v>315.7903</v>
      </c>
      <c r="E715" s="34">
        <v>287.49121000000002</v>
      </c>
      <c r="F715" s="34">
        <v>0</v>
      </c>
      <c r="G715" s="5">
        <f t="shared" si="11"/>
        <v>0.87757722222222223</v>
      </c>
    </row>
    <row r="716" spans="1:7" x14ac:dyDescent="0.3">
      <c r="A716" s="33">
        <v>46003.532500000001</v>
      </c>
      <c r="B716" s="34">
        <v>7150</v>
      </c>
      <c r="C716" s="34">
        <v>0.91120000000000001</v>
      </c>
      <c r="D716" s="34">
        <v>315.54039999999998</v>
      </c>
      <c r="E716" s="34">
        <v>287.49121000000002</v>
      </c>
      <c r="F716" s="34">
        <v>0</v>
      </c>
      <c r="G716" s="5">
        <f t="shared" si="11"/>
        <v>0.8768481944444444</v>
      </c>
    </row>
    <row r="717" spans="1:7" x14ac:dyDescent="0.3">
      <c r="A717" s="33">
        <v>46003.53261574074</v>
      </c>
      <c r="B717" s="34">
        <v>7160</v>
      </c>
      <c r="C717" s="34">
        <v>0.91</v>
      </c>
      <c r="D717" s="34">
        <v>315.29039999999998</v>
      </c>
      <c r="E717" s="34">
        <v>286.86624</v>
      </c>
      <c r="F717" s="34">
        <v>0</v>
      </c>
      <c r="G717" s="5">
        <f t="shared" si="11"/>
        <v>0.8761538888888889</v>
      </c>
    </row>
    <row r="718" spans="1:7" x14ac:dyDescent="0.3">
      <c r="A718" s="33">
        <v>46003.532731481479</v>
      </c>
      <c r="B718" s="34">
        <v>7170</v>
      </c>
      <c r="C718" s="34">
        <v>0.90869999999999995</v>
      </c>
      <c r="D718" s="34">
        <v>315.06540000000001</v>
      </c>
      <c r="E718" s="34">
        <v>286.86624</v>
      </c>
      <c r="F718" s="34">
        <v>0</v>
      </c>
      <c r="G718" s="5">
        <f t="shared" si="11"/>
        <v>0.8754941666666668</v>
      </c>
    </row>
    <row r="719" spans="1:7" x14ac:dyDescent="0.3">
      <c r="A719" s="33">
        <v>46003.532847222225</v>
      </c>
      <c r="B719" s="34">
        <v>7180</v>
      </c>
      <c r="C719" s="34">
        <v>0.90869999999999995</v>
      </c>
      <c r="D719" s="34">
        <v>314.84039999999999</v>
      </c>
      <c r="E719" s="34">
        <v>285.61626999999999</v>
      </c>
      <c r="F719" s="34">
        <v>0</v>
      </c>
      <c r="G719" s="5">
        <f t="shared" si="11"/>
        <v>0.8748691666666667</v>
      </c>
    </row>
    <row r="720" spans="1:7" x14ac:dyDescent="0.3">
      <c r="A720" s="33">
        <v>46003.532962962963</v>
      </c>
      <c r="B720" s="34">
        <v>7190</v>
      </c>
      <c r="C720" s="34">
        <v>0.90869999999999995</v>
      </c>
      <c r="D720" s="34">
        <v>314.6404</v>
      </c>
      <c r="E720" s="34">
        <v>286.24126999999999</v>
      </c>
      <c r="F720" s="34">
        <v>0</v>
      </c>
      <c r="G720" s="5">
        <f t="shared" si="11"/>
        <v>0.87427888888888894</v>
      </c>
    </row>
    <row r="721" spans="1:7" x14ac:dyDescent="0.3">
      <c r="A721" s="33">
        <v>46003.533078703702</v>
      </c>
      <c r="B721" s="34">
        <v>7200</v>
      </c>
      <c r="C721" s="34">
        <v>0.90869999999999995</v>
      </c>
      <c r="D721" s="34">
        <v>314.41539999999998</v>
      </c>
      <c r="E721" s="34">
        <v>285.61626999999999</v>
      </c>
      <c r="F721" s="34">
        <v>0</v>
      </c>
      <c r="G721" s="5">
        <f t="shared" si="11"/>
        <v>0.87368861111111107</v>
      </c>
    </row>
    <row r="722" spans="1:7" x14ac:dyDescent="0.3">
      <c r="A722" s="33">
        <v>46003.533194444448</v>
      </c>
      <c r="B722" s="34">
        <v>7210</v>
      </c>
      <c r="C722" s="34">
        <v>0.90749999999999997</v>
      </c>
      <c r="D722" s="34">
        <v>314.21539999999999</v>
      </c>
      <c r="E722" s="34">
        <v>284.36633</v>
      </c>
      <c r="F722" s="34">
        <v>0</v>
      </c>
      <c r="G722" s="5">
        <f t="shared" si="11"/>
        <v>0.8730983333333332</v>
      </c>
    </row>
    <row r="723" spans="1:7" x14ac:dyDescent="0.3">
      <c r="A723" s="33">
        <v>46003.533310185187</v>
      </c>
      <c r="B723" s="34">
        <v>7220</v>
      </c>
      <c r="C723" s="34">
        <v>0.90629999999999999</v>
      </c>
      <c r="D723" s="34">
        <v>314.0154</v>
      </c>
      <c r="E723" s="34">
        <v>284.36633</v>
      </c>
      <c r="F723" s="34">
        <v>0</v>
      </c>
      <c r="G723" s="5">
        <f t="shared" si="11"/>
        <v>0.87254277777777789</v>
      </c>
    </row>
    <row r="724" spans="1:7" x14ac:dyDescent="0.3">
      <c r="A724" s="33">
        <v>46003.533425925925</v>
      </c>
      <c r="B724" s="34">
        <v>7230</v>
      </c>
      <c r="C724" s="34">
        <v>0.90629999999999999</v>
      </c>
      <c r="D724" s="34">
        <v>313.84039999999999</v>
      </c>
      <c r="E724" s="34">
        <v>284.36633</v>
      </c>
      <c r="F724" s="34">
        <v>0</v>
      </c>
      <c r="G724" s="5">
        <f t="shared" si="11"/>
        <v>0.87202194444444459</v>
      </c>
    </row>
    <row r="725" spans="1:7" x14ac:dyDescent="0.3">
      <c r="A725" s="33">
        <v>46003.533541666664</v>
      </c>
      <c r="B725" s="34">
        <v>7240</v>
      </c>
      <c r="C725" s="34">
        <v>0.90629999999999999</v>
      </c>
      <c r="D725" s="34">
        <v>313.6404</v>
      </c>
      <c r="E725" s="34">
        <v>284.36633</v>
      </c>
      <c r="F725" s="34">
        <v>0</v>
      </c>
      <c r="G725" s="5">
        <f t="shared" si="11"/>
        <v>0.87150111111111117</v>
      </c>
    </row>
    <row r="726" spans="1:7" x14ac:dyDescent="0.3">
      <c r="A726" s="33">
        <v>46003.53365740741</v>
      </c>
      <c r="B726" s="34">
        <v>7250</v>
      </c>
      <c r="C726" s="34">
        <v>0.90500000000000003</v>
      </c>
      <c r="D726" s="34">
        <v>313.46539999999999</v>
      </c>
      <c r="E726" s="34">
        <v>283.74133</v>
      </c>
      <c r="F726" s="34">
        <v>0</v>
      </c>
      <c r="G726" s="5">
        <f t="shared" si="11"/>
        <v>0.87098027777777787</v>
      </c>
    </row>
    <row r="727" spans="1:7" x14ac:dyDescent="0.3">
      <c r="A727" s="33">
        <v>46003.533773148149</v>
      </c>
      <c r="B727" s="34">
        <v>7260</v>
      </c>
      <c r="C727" s="34">
        <v>0.90380000000000005</v>
      </c>
      <c r="D727" s="34">
        <v>313.29039999999998</v>
      </c>
      <c r="E727" s="34">
        <v>283.11635999999999</v>
      </c>
      <c r="F727" s="34">
        <v>0</v>
      </c>
      <c r="G727" s="5">
        <f t="shared" si="11"/>
        <v>0.87049416666666657</v>
      </c>
    </row>
    <row r="728" spans="1:7" x14ac:dyDescent="0.3">
      <c r="A728" s="33">
        <v>46003.533888888887</v>
      </c>
      <c r="B728" s="34">
        <v>7270</v>
      </c>
      <c r="C728" s="34">
        <v>0.90380000000000005</v>
      </c>
      <c r="D728" s="34">
        <v>313.11540000000002</v>
      </c>
      <c r="E728" s="34">
        <v>282.49139000000002</v>
      </c>
      <c r="F728" s="34">
        <v>0</v>
      </c>
      <c r="G728" s="5">
        <f t="shared" si="11"/>
        <v>0.8700080555555556</v>
      </c>
    </row>
    <row r="729" spans="1:7" x14ac:dyDescent="0.3">
      <c r="A729" s="33">
        <v>46003.534004629626</v>
      </c>
      <c r="B729" s="34">
        <v>7280</v>
      </c>
      <c r="C729" s="34">
        <v>0.90380000000000005</v>
      </c>
      <c r="D729" s="34">
        <v>312.91539999999998</v>
      </c>
      <c r="E729" s="34">
        <v>282.49139000000002</v>
      </c>
      <c r="F729" s="34">
        <v>0</v>
      </c>
      <c r="G729" s="5">
        <f t="shared" si="11"/>
        <v>0.8694872222222223</v>
      </c>
    </row>
    <row r="730" spans="1:7" x14ac:dyDescent="0.3">
      <c r="A730" s="33">
        <v>46003.534120370372</v>
      </c>
      <c r="B730" s="34">
        <v>7290</v>
      </c>
      <c r="C730" s="34">
        <v>0.90249999999999997</v>
      </c>
      <c r="D730" s="34">
        <v>312.74040000000002</v>
      </c>
      <c r="E730" s="34">
        <v>282.49139000000002</v>
      </c>
      <c r="F730" s="34">
        <v>0</v>
      </c>
      <c r="G730" s="5">
        <f t="shared" si="11"/>
        <v>0.86896638888888889</v>
      </c>
    </row>
    <row r="731" spans="1:7" x14ac:dyDescent="0.3">
      <c r="A731" s="33">
        <v>46003.534236111111</v>
      </c>
      <c r="B731" s="34">
        <v>7300</v>
      </c>
      <c r="C731" s="34">
        <v>1.165</v>
      </c>
      <c r="D731" s="34">
        <v>0</v>
      </c>
      <c r="E731" s="34">
        <v>0</v>
      </c>
      <c r="F731" s="34">
        <v>1</v>
      </c>
      <c r="G731" s="5">
        <f t="shared" si="11"/>
        <v>0.4343616666666667</v>
      </c>
    </row>
    <row r="732" spans="1:7" x14ac:dyDescent="0.3">
      <c r="A732" s="33">
        <v>46003.534351851849</v>
      </c>
      <c r="B732" s="34">
        <v>7310</v>
      </c>
      <c r="C732" s="34">
        <v>1.175</v>
      </c>
      <c r="D732" s="34">
        <v>0</v>
      </c>
      <c r="E732" s="34">
        <v>0</v>
      </c>
      <c r="F732" s="34">
        <v>1</v>
      </c>
      <c r="G732" s="5">
        <f t="shared" si="11"/>
        <v>0</v>
      </c>
    </row>
    <row r="733" spans="1:7" x14ac:dyDescent="0.3">
      <c r="A733" s="33">
        <v>46003.534467592595</v>
      </c>
      <c r="B733" s="34">
        <v>7320</v>
      </c>
      <c r="C733" s="34">
        <v>1.1825000000000001</v>
      </c>
      <c r="D733" s="34">
        <v>0</v>
      </c>
      <c r="E733" s="34">
        <v>0</v>
      </c>
      <c r="F733" s="34">
        <v>1</v>
      </c>
      <c r="G733" s="5">
        <f t="shared" si="11"/>
        <v>0</v>
      </c>
    </row>
    <row r="734" spans="1:7" x14ac:dyDescent="0.3">
      <c r="A734" s="33">
        <v>46003.534583333334</v>
      </c>
      <c r="B734" s="34">
        <v>7330</v>
      </c>
      <c r="C734" s="34">
        <v>1.1875</v>
      </c>
      <c r="D734" s="34">
        <v>0</v>
      </c>
      <c r="E734" s="34">
        <v>0</v>
      </c>
      <c r="F734" s="34">
        <v>1</v>
      </c>
      <c r="G734" s="5">
        <f t="shared" si="11"/>
        <v>0</v>
      </c>
    </row>
    <row r="735" spans="1:7" x14ac:dyDescent="0.3">
      <c r="A735" s="33">
        <v>46003.534699074073</v>
      </c>
      <c r="B735" s="34">
        <v>7340</v>
      </c>
      <c r="C735" s="34">
        <v>1.1924999999999999</v>
      </c>
      <c r="D735" s="34">
        <v>0</v>
      </c>
      <c r="E735" s="34">
        <v>0</v>
      </c>
      <c r="F735" s="34">
        <v>1</v>
      </c>
      <c r="G735" s="5">
        <f t="shared" si="11"/>
        <v>0</v>
      </c>
    </row>
    <row r="736" spans="1:7" x14ac:dyDescent="0.3">
      <c r="A736" s="33">
        <v>46003.534814814811</v>
      </c>
      <c r="B736" s="34">
        <v>7350</v>
      </c>
      <c r="C736" s="34">
        <v>1.1961999999999999</v>
      </c>
      <c r="D736" s="34">
        <v>0</v>
      </c>
      <c r="E736" s="34">
        <v>0</v>
      </c>
      <c r="F736" s="34">
        <v>1</v>
      </c>
      <c r="G736" s="5">
        <f t="shared" si="11"/>
        <v>0</v>
      </c>
    </row>
    <row r="737" spans="1:7" x14ac:dyDescent="0.3">
      <c r="A737" s="33">
        <v>46003.534930555557</v>
      </c>
      <c r="B737" s="34">
        <v>7360</v>
      </c>
      <c r="C737" s="34">
        <v>1.1975</v>
      </c>
      <c r="D737" s="34">
        <v>0</v>
      </c>
      <c r="E737" s="34">
        <v>0</v>
      </c>
      <c r="F737" s="34">
        <v>1</v>
      </c>
      <c r="G737" s="5">
        <f t="shared" si="11"/>
        <v>0</v>
      </c>
    </row>
    <row r="738" spans="1:7" x14ac:dyDescent="0.3">
      <c r="A738" s="33">
        <v>46003.535046296296</v>
      </c>
      <c r="B738" s="34">
        <v>7370</v>
      </c>
      <c r="C738" s="34">
        <v>1.2012</v>
      </c>
      <c r="D738" s="34">
        <v>0</v>
      </c>
      <c r="E738" s="34">
        <v>0</v>
      </c>
      <c r="F738" s="34">
        <v>1</v>
      </c>
      <c r="G738" s="5">
        <f t="shared" si="11"/>
        <v>0</v>
      </c>
    </row>
    <row r="739" spans="1:7" x14ac:dyDescent="0.3">
      <c r="A739" s="33">
        <v>46003.535162037035</v>
      </c>
      <c r="B739" s="34">
        <v>7380</v>
      </c>
      <c r="C739" s="34">
        <v>1.2038</v>
      </c>
      <c r="D739" s="34">
        <v>0</v>
      </c>
      <c r="E739" s="34">
        <v>0</v>
      </c>
      <c r="F739" s="34">
        <v>1</v>
      </c>
      <c r="G739" s="5">
        <f t="shared" si="11"/>
        <v>0</v>
      </c>
    </row>
    <row r="740" spans="1:7" x14ac:dyDescent="0.3">
      <c r="A740" s="33">
        <v>46003.535277777781</v>
      </c>
      <c r="B740" s="34">
        <v>7390</v>
      </c>
      <c r="C740" s="34">
        <v>0.93500000000000005</v>
      </c>
      <c r="D740" s="34">
        <v>323.31509999999997</v>
      </c>
      <c r="E740" s="34">
        <v>301.86577999999997</v>
      </c>
      <c r="F740" s="34">
        <v>0</v>
      </c>
      <c r="G740" s="5">
        <f t="shared" si="11"/>
        <v>0.44904875</v>
      </c>
    </row>
    <row r="741" spans="1:7" x14ac:dyDescent="0.3">
      <c r="A741" s="33">
        <v>46003.535393518519</v>
      </c>
      <c r="B741" s="34">
        <v>7400</v>
      </c>
      <c r="C741" s="34">
        <v>0.92620000000000002</v>
      </c>
      <c r="D741" s="34">
        <v>320.54020000000003</v>
      </c>
      <c r="E741" s="34">
        <v>296.86594000000002</v>
      </c>
      <c r="F741" s="34">
        <v>0</v>
      </c>
      <c r="G741" s="5">
        <f t="shared" si="11"/>
        <v>0.89424347222222222</v>
      </c>
    </row>
    <row r="742" spans="1:7" x14ac:dyDescent="0.3">
      <c r="A742" s="33">
        <v>46003.535509259258</v>
      </c>
      <c r="B742" s="34">
        <v>7410</v>
      </c>
      <c r="C742" s="34">
        <v>0.92120000000000002</v>
      </c>
      <c r="D742" s="34">
        <v>318.86529999999999</v>
      </c>
      <c r="E742" s="34">
        <v>293.74103000000002</v>
      </c>
      <c r="F742" s="34">
        <v>0</v>
      </c>
      <c r="G742" s="5">
        <f t="shared" si="11"/>
        <v>0.88806319444444459</v>
      </c>
    </row>
    <row r="743" spans="1:7" x14ac:dyDescent="0.3">
      <c r="A743" s="33">
        <v>46003.535624999997</v>
      </c>
      <c r="B743" s="34">
        <v>7420</v>
      </c>
      <c r="C743" s="34">
        <v>0.91749999999999998</v>
      </c>
      <c r="D743" s="34">
        <v>317.59030000000001</v>
      </c>
      <c r="E743" s="34">
        <v>291.86608999999999</v>
      </c>
      <c r="F743" s="34">
        <v>0</v>
      </c>
      <c r="G743" s="5">
        <f t="shared" si="11"/>
        <v>0.88396611111111112</v>
      </c>
    </row>
    <row r="744" spans="1:7" x14ac:dyDescent="0.3">
      <c r="A744" s="33">
        <v>46003.535740740743</v>
      </c>
      <c r="B744" s="34">
        <v>7430</v>
      </c>
      <c r="C744" s="34">
        <v>0.91369999999999996</v>
      </c>
      <c r="D744" s="34">
        <v>316.61529999999999</v>
      </c>
      <c r="E744" s="34">
        <v>288.74117999999999</v>
      </c>
      <c r="F744" s="34">
        <v>0</v>
      </c>
      <c r="G744" s="5">
        <f t="shared" si="11"/>
        <v>0.88084111111111119</v>
      </c>
    </row>
    <row r="745" spans="1:7" x14ac:dyDescent="0.3">
      <c r="A745" s="33">
        <v>46003.535856481481</v>
      </c>
      <c r="B745" s="34">
        <v>7440</v>
      </c>
      <c r="C745" s="34">
        <v>0.91120000000000001</v>
      </c>
      <c r="D745" s="34">
        <v>315.7903</v>
      </c>
      <c r="E745" s="34">
        <v>287.49121000000002</v>
      </c>
      <c r="F745" s="34">
        <v>0</v>
      </c>
      <c r="G745" s="5">
        <f t="shared" si="11"/>
        <v>0.87834111111111124</v>
      </c>
    </row>
    <row r="746" spans="1:7" x14ac:dyDescent="0.3">
      <c r="A746" s="33">
        <v>46003.53597222222</v>
      </c>
      <c r="B746" s="34">
        <v>7450</v>
      </c>
      <c r="C746" s="34">
        <v>0.90869999999999995</v>
      </c>
      <c r="D746" s="34">
        <v>315.1404</v>
      </c>
      <c r="E746" s="34">
        <v>286.86624</v>
      </c>
      <c r="F746" s="34">
        <v>0</v>
      </c>
      <c r="G746" s="5">
        <f t="shared" si="11"/>
        <v>0.87629263888888898</v>
      </c>
    </row>
    <row r="747" spans="1:7" x14ac:dyDescent="0.3">
      <c r="A747" s="33">
        <v>46003.536087962966</v>
      </c>
      <c r="B747" s="34">
        <v>7460</v>
      </c>
      <c r="C747" s="34">
        <v>0.90869999999999995</v>
      </c>
      <c r="D747" s="34">
        <v>314.59039999999999</v>
      </c>
      <c r="E747" s="34">
        <v>285.61626999999999</v>
      </c>
      <c r="F747" s="34">
        <v>0</v>
      </c>
      <c r="G747" s="5">
        <f t="shared" si="11"/>
        <v>0.87462611111111122</v>
      </c>
    </row>
    <row r="748" spans="1:7" x14ac:dyDescent="0.3">
      <c r="A748" s="33">
        <v>46003.536203703705</v>
      </c>
      <c r="B748" s="34">
        <v>7470</v>
      </c>
      <c r="C748" s="34">
        <v>0.90629999999999999</v>
      </c>
      <c r="D748" s="34">
        <v>314.09039999999999</v>
      </c>
      <c r="E748" s="34">
        <v>284.36633</v>
      </c>
      <c r="F748" s="34">
        <v>0</v>
      </c>
      <c r="G748" s="5">
        <f t="shared" si="11"/>
        <v>0.87316777777777776</v>
      </c>
    </row>
    <row r="749" spans="1:7" x14ac:dyDescent="0.3">
      <c r="A749" s="33">
        <v>46003.536319444444</v>
      </c>
      <c r="B749" s="34">
        <v>7480</v>
      </c>
      <c r="C749" s="34">
        <v>0.90500000000000003</v>
      </c>
      <c r="D749" s="34">
        <v>313.6404</v>
      </c>
      <c r="E749" s="34">
        <v>283.74133</v>
      </c>
      <c r="F749" s="34">
        <v>0</v>
      </c>
      <c r="G749" s="5">
        <f t="shared" si="11"/>
        <v>0.87184833333333345</v>
      </c>
    </row>
    <row r="750" spans="1:7" x14ac:dyDescent="0.3">
      <c r="A750" s="33">
        <v>46003.536435185182</v>
      </c>
      <c r="B750" s="34">
        <v>7490</v>
      </c>
      <c r="C750" s="34">
        <v>0.90380000000000005</v>
      </c>
      <c r="D750" s="34">
        <v>313.24040000000002</v>
      </c>
      <c r="E750" s="34">
        <v>282.49139000000002</v>
      </c>
      <c r="F750" s="34">
        <v>0</v>
      </c>
      <c r="G750" s="5">
        <f t="shared" si="11"/>
        <v>0.87066777777777782</v>
      </c>
    </row>
    <row r="751" spans="1:7" x14ac:dyDescent="0.3">
      <c r="A751" s="33">
        <v>46003.536550925928</v>
      </c>
      <c r="B751" s="34">
        <v>7500</v>
      </c>
      <c r="C751" s="34">
        <v>0.90249999999999997</v>
      </c>
      <c r="D751" s="34">
        <v>312.86540000000002</v>
      </c>
      <c r="E751" s="34">
        <v>282.49139000000002</v>
      </c>
      <c r="F751" s="34">
        <v>0</v>
      </c>
      <c r="G751" s="5">
        <f t="shared" si="11"/>
        <v>0.86959138888888898</v>
      </c>
    </row>
    <row r="752" spans="1:7" x14ac:dyDescent="0.3">
      <c r="A752" s="33">
        <v>46003.536666666667</v>
      </c>
      <c r="B752" s="34">
        <v>7510</v>
      </c>
      <c r="C752" s="34">
        <v>0.90129999999999999</v>
      </c>
      <c r="D752" s="34">
        <v>312.54050000000001</v>
      </c>
      <c r="E752" s="34">
        <v>281.86639000000002</v>
      </c>
      <c r="F752" s="34">
        <v>0</v>
      </c>
      <c r="G752" s="5">
        <f t="shared" si="11"/>
        <v>0.86861930555555555</v>
      </c>
    </row>
    <row r="753" spans="1:7" x14ac:dyDescent="0.3">
      <c r="A753" s="33">
        <v>46003.536782407406</v>
      </c>
      <c r="B753" s="34">
        <v>7520</v>
      </c>
      <c r="C753" s="34">
        <v>0.90129999999999999</v>
      </c>
      <c r="D753" s="34">
        <v>312.24040000000002</v>
      </c>
      <c r="E753" s="34">
        <v>281.24142000000001</v>
      </c>
      <c r="F753" s="34">
        <v>0</v>
      </c>
      <c r="G753" s="5">
        <f t="shared" si="11"/>
        <v>0.86775124999999997</v>
      </c>
    </row>
    <row r="754" spans="1:7" x14ac:dyDescent="0.3">
      <c r="A754" s="33">
        <v>46003.536898148152</v>
      </c>
      <c r="B754" s="34">
        <v>7530</v>
      </c>
      <c r="C754" s="34">
        <v>0.9</v>
      </c>
      <c r="D754" s="34">
        <v>311.94049999999999</v>
      </c>
      <c r="E754" s="34">
        <v>280.61642000000001</v>
      </c>
      <c r="F754" s="34">
        <v>0</v>
      </c>
      <c r="G754" s="5">
        <f t="shared" si="11"/>
        <v>0.86691791666666684</v>
      </c>
    </row>
    <row r="755" spans="1:7" x14ac:dyDescent="0.3">
      <c r="A755" s="33">
        <v>46003.53701388889</v>
      </c>
      <c r="B755" s="34">
        <v>7540</v>
      </c>
      <c r="C755" s="34">
        <v>0.9</v>
      </c>
      <c r="D755" s="34">
        <v>311.64049999999997</v>
      </c>
      <c r="E755" s="34">
        <v>280.61642000000001</v>
      </c>
      <c r="F755" s="34">
        <v>0</v>
      </c>
      <c r="G755" s="5">
        <f t="shared" si="11"/>
        <v>0.8660847222222221</v>
      </c>
    </row>
    <row r="756" spans="1:7" x14ac:dyDescent="0.3">
      <c r="A756" s="33">
        <v>46003.537129629629</v>
      </c>
      <c r="B756" s="34">
        <v>7550</v>
      </c>
      <c r="C756" s="34">
        <v>0.9</v>
      </c>
      <c r="D756" s="34">
        <v>311.39049999999997</v>
      </c>
      <c r="E756" s="34">
        <v>279.99146000000002</v>
      </c>
      <c r="F756" s="34">
        <v>0</v>
      </c>
      <c r="G756" s="5">
        <f t="shared" si="11"/>
        <v>0.86532083333333332</v>
      </c>
    </row>
    <row r="757" spans="1:7" x14ac:dyDescent="0.3">
      <c r="A757" s="33">
        <v>46003.537245370368</v>
      </c>
      <c r="B757" s="34">
        <v>7560</v>
      </c>
      <c r="C757" s="34">
        <v>0.89880000000000004</v>
      </c>
      <c r="D757" s="34">
        <v>311.14049999999997</v>
      </c>
      <c r="E757" s="34">
        <v>279.36649</v>
      </c>
      <c r="F757" s="34">
        <v>0</v>
      </c>
      <c r="G757" s="5">
        <f t="shared" si="11"/>
        <v>0.86462638888888887</v>
      </c>
    </row>
    <row r="758" spans="1:7" x14ac:dyDescent="0.3">
      <c r="A758" s="33">
        <v>46003.537361111114</v>
      </c>
      <c r="B758" s="34">
        <v>7570</v>
      </c>
      <c r="C758" s="34">
        <v>0.89749999999999996</v>
      </c>
      <c r="D758" s="34">
        <v>310.91550000000001</v>
      </c>
      <c r="E758" s="34">
        <v>278.74149</v>
      </c>
      <c r="F758" s="34">
        <v>0</v>
      </c>
      <c r="G758" s="5">
        <f t="shared" si="11"/>
        <v>0.86396666666666677</v>
      </c>
    </row>
    <row r="759" spans="1:7" x14ac:dyDescent="0.3">
      <c r="A759" s="33">
        <v>46003.537476851852</v>
      </c>
      <c r="B759" s="34">
        <v>7580</v>
      </c>
      <c r="C759" s="34">
        <v>0.89629999999999999</v>
      </c>
      <c r="D759" s="34">
        <v>310.66550000000001</v>
      </c>
      <c r="E759" s="34">
        <v>278.74149</v>
      </c>
      <c r="F759" s="34">
        <v>0</v>
      </c>
      <c r="G759" s="5">
        <f t="shared" si="11"/>
        <v>0.86330694444444445</v>
      </c>
    </row>
    <row r="760" spans="1:7" x14ac:dyDescent="0.3">
      <c r="A760" s="33">
        <v>46003.537592592591</v>
      </c>
      <c r="B760" s="34">
        <v>7590</v>
      </c>
      <c r="C760" s="34">
        <v>0.89629999999999999</v>
      </c>
      <c r="D760" s="34">
        <v>310.46550000000002</v>
      </c>
      <c r="E760" s="34">
        <v>278.74149</v>
      </c>
      <c r="F760" s="34">
        <v>0</v>
      </c>
      <c r="G760" s="5">
        <f t="shared" si="11"/>
        <v>0.86268194444444457</v>
      </c>
    </row>
    <row r="761" spans="1:7" x14ac:dyDescent="0.3">
      <c r="A761" s="33">
        <v>46003.537708333337</v>
      </c>
      <c r="B761" s="34">
        <v>7600</v>
      </c>
      <c r="C761" s="34">
        <v>0.89500000000000002</v>
      </c>
      <c r="D761" s="34">
        <v>310.2405</v>
      </c>
      <c r="E761" s="34">
        <v>277.49151999999998</v>
      </c>
      <c r="F761" s="34">
        <v>0</v>
      </c>
      <c r="G761" s="5">
        <f t="shared" si="11"/>
        <v>0.8620916666666667</v>
      </c>
    </row>
    <row r="762" spans="1:7" x14ac:dyDescent="0.3">
      <c r="A762" s="33">
        <v>46003.537824074076</v>
      </c>
      <c r="B762" s="34">
        <v>7610</v>
      </c>
      <c r="C762" s="34">
        <v>0.89500000000000002</v>
      </c>
      <c r="D762" s="34">
        <v>310.01549999999997</v>
      </c>
      <c r="E762" s="34">
        <v>277.49151999999998</v>
      </c>
      <c r="F762" s="34">
        <v>0</v>
      </c>
      <c r="G762" s="5">
        <f t="shared" si="11"/>
        <v>0.86146666666666671</v>
      </c>
    </row>
    <row r="763" spans="1:7" x14ac:dyDescent="0.3">
      <c r="A763" s="33">
        <v>46003.537939814814</v>
      </c>
      <c r="B763" s="34">
        <v>7620</v>
      </c>
      <c r="C763" s="34">
        <v>0.89370000000000005</v>
      </c>
      <c r="D763" s="34">
        <v>309.81549999999999</v>
      </c>
      <c r="E763" s="34">
        <v>276.86655000000002</v>
      </c>
      <c r="F763" s="34">
        <v>0</v>
      </c>
      <c r="G763" s="5">
        <f t="shared" si="11"/>
        <v>0.86087638888888873</v>
      </c>
    </row>
    <row r="764" spans="1:7" x14ac:dyDescent="0.3">
      <c r="A764" s="33">
        <v>46003.538055555553</v>
      </c>
      <c r="B764" s="34">
        <v>7630</v>
      </c>
      <c r="C764" s="34">
        <v>0.89370000000000005</v>
      </c>
      <c r="D764" s="34">
        <v>309.6155</v>
      </c>
      <c r="E764" s="34">
        <v>276.24158</v>
      </c>
      <c r="F764" s="34">
        <v>0</v>
      </c>
      <c r="G764" s="5">
        <f t="shared" si="11"/>
        <v>0.86032083333333342</v>
      </c>
    </row>
    <row r="765" spans="1:7" x14ac:dyDescent="0.3">
      <c r="A765" s="33">
        <v>46003.538171296299</v>
      </c>
      <c r="B765" s="34">
        <v>7640</v>
      </c>
      <c r="C765" s="34">
        <v>0.89249999999999996</v>
      </c>
      <c r="D765" s="34">
        <v>309.41559999999998</v>
      </c>
      <c r="E765" s="34">
        <v>276.24158</v>
      </c>
      <c r="F765" s="34">
        <v>0</v>
      </c>
      <c r="G765" s="5">
        <f t="shared" si="11"/>
        <v>0.85976541666666662</v>
      </c>
    </row>
    <row r="766" spans="1:7" x14ac:dyDescent="0.3">
      <c r="A766" s="33">
        <v>46003.538287037038</v>
      </c>
      <c r="B766" s="34">
        <v>7650</v>
      </c>
      <c r="C766" s="34">
        <v>0.89249999999999996</v>
      </c>
      <c r="D766" s="34">
        <v>309.2405</v>
      </c>
      <c r="E766" s="34">
        <v>275.61658</v>
      </c>
      <c r="F766" s="34">
        <v>0</v>
      </c>
      <c r="G766" s="5">
        <f t="shared" si="11"/>
        <v>0.85924458333333331</v>
      </c>
    </row>
    <row r="767" spans="1:7" x14ac:dyDescent="0.3">
      <c r="A767" s="33">
        <v>46003.538402777776</v>
      </c>
      <c r="B767" s="34">
        <v>7660</v>
      </c>
      <c r="C767" s="34">
        <v>0.89119999999999999</v>
      </c>
      <c r="D767" s="34">
        <v>309.04059999999998</v>
      </c>
      <c r="E767" s="34">
        <v>275.61658</v>
      </c>
      <c r="F767" s="34">
        <v>0</v>
      </c>
      <c r="G767" s="5">
        <f t="shared" si="11"/>
        <v>0.8587237499999999</v>
      </c>
    </row>
    <row r="768" spans="1:7" x14ac:dyDescent="0.3">
      <c r="A768" s="33">
        <v>46003.538518518515</v>
      </c>
      <c r="B768" s="34">
        <v>7670</v>
      </c>
      <c r="C768" s="34">
        <v>0.89119999999999999</v>
      </c>
      <c r="D768" s="34">
        <v>308.84059999999999</v>
      </c>
      <c r="E768" s="34">
        <v>274.99160999999998</v>
      </c>
      <c r="F768" s="34">
        <v>0</v>
      </c>
      <c r="G768" s="5">
        <f t="shared" si="11"/>
        <v>0.85816833333333342</v>
      </c>
    </row>
    <row r="769" spans="1:7" x14ac:dyDescent="0.3">
      <c r="A769" s="33">
        <v>46003.538634259261</v>
      </c>
      <c r="B769" s="34">
        <v>7680</v>
      </c>
      <c r="C769" s="34">
        <v>0.89</v>
      </c>
      <c r="D769" s="34">
        <v>308.66559999999998</v>
      </c>
      <c r="E769" s="34">
        <v>274.36664000000002</v>
      </c>
      <c r="F769" s="34">
        <v>0</v>
      </c>
      <c r="G769" s="5">
        <f t="shared" si="11"/>
        <v>0.85764750000000012</v>
      </c>
    </row>
    <row r="770" spans="1:7" x14ac:dyDescent="0.3">
      <c r="A770" s="33">
        <v>46003.53875</v>
      </c>
      <c r="B770" s="34">
        <v>7690</v>
      </c>
      <c r="C770" s="34">
        <v>1.155</v>
      </c>
      <c r="D770" s="34">
        <v>0</v>
      </c>
      <c r="E770" s="34">
        <v>0</v>
      </c>
      <c r="F770" s="34">
        <v>1</v>
      </c>
      <c r="G770" s="5">
        <f t="shared" si="11"/>
        <v>0.42870222222222221</v>
      </c>
    </row>
    <row r="771" spans="1:7" x14ac:dyDescent="0.3">
      <c r="A771" s="33">
        <v>46003.538865740738</v>
      </c>
      <c r="B771" s="34">
        <v>7700</v>
      </c>
      <c r="C771" s="34">
        <v>1.1661999999999999</v>
      </c>
      <c r="D771" s="34">
        <v>0</v>
      </c>
      <c r="E771" s="34">
        <v>0</v>
      </c>
      <c r="F771" s="34">
        <v>1</v>
      </c>
      <c r="G771" s="5">
        <f t="shared" si="11"/>
        <v>0</v>
      </c>
    </row>
    <row r="772" spans="1:7" x14ac:dyDescent="0.3">
      <c r="A772" s="33">
        <v>46003.538981481484</v>
      </c>
      <c r="B772" s="34">
        <v>7710</v>
      </c>
      <c r="C772" s="34">
        <v>1.175</v>
      </c>
      <c r="D772" s="34">
        <v>0</v>
      </c>
      <c r="E772" s="34">
        <v>0</v>
      </c>
      <c r="F772" s="34">
        <v>1</v>
      </c>
      <c r="G772" s="5">
        <f t="shared" si="11"/>
        <v>0</v>
      </c>
    </row>
    <row r="773" spans="1:7" x14ac:dyDescent="0.3">
      <c r="A773" s="33">
        <v>46003.539097222223</v>
      </c>
      <c r="B773" s="34">
        <v>7720</v>
      </c>
      <c r="C773" s="34">
        <v>1.1787000000000001</v>
      </c>
      <c r="D773" s="34">
        <v>0</v>
      </c>
      <c r="E773" s="34">
        <v>0</v>
      </c>
      <c r="F773" s="34">
        <v>1</v>
      </c>
      <c r="G773" s="5">
        <f t="shared" si="11"/>
        <v>0</v>
      </c>
    </row>
    <row r="774" spans="1:7" x14ac:dyDescent="0.3">
      <c r="A774" s="33">
        <v>46003.539212962962</v>
      </c>
      <c r="B774" s="34">
        <v>7730</v>
      </c>
      <c r="C774" s="34">
        <v>1.1837</v>
      </c>
      <c r="D774" s="34">
        <v>0</v>
      </c>
      <c r="E774" s="34">
        <v>0</v>
      </c>
      <c r="F774" s="34">
        <v>1</v>
      </c>
      <c r="G774" s="5">
        <f t="shared" si="11"/>
        <v>0</v>
      </c>
    </row>
    <row r="775" spans="1:7" x14ac:dyDescent="0.3">
      <c r="A775" s="33">
        <v>46003.5393287037</v>
      </c>
      <c r="B775" s="34">
        <v>7740</v>
      </c>
      <c r="C775" s="34">
        <v>1.1875</v>
      </c>
      <c r="D775" s="34">
        <v>0</v>
      </c>
      <c r="E775" s="34">
        <v>0</v>
      </c>
      <c r="F775" s="34">
        <v>1</v>
      </c>
      <c r="G775" s="5">
        <f t="shared" ref="G775:G838" si="12">($B$2/3600)*((D774+D775)/2)</f>
        <v>0</v>
      </c>
    </row>
    <row r="776" spans="1:7" x14ac:dyDescent="0.3">
      <c r="A776" s="33">
        <v>46003.539444444446</v>
      </c>
      <c r="B776" s="34">
        <v>7750</v>
      </c>
      <c r="C776" s="34">
        <v>1.1912</v>
      </c>
      <c r="D776" s="34">
        <v>0</v>
      </c>
      <c r="E776" s="34">
        <v>0</v>
      </c>
      <c r="F776" s="34">
        <v>1</v>
      </c>
      <c r="G776" s="5">
        <f t="shared" si="12"/>
        <v>0</v>
      </c>
    </row>
    <row r="777" spans="1:7" x14ac:dyDescent="0.3">
      <c r="A777" s="33">
        <v>46003.539560185185</v>
      </c>
      <c r="B777" s="34">
        <v>7760</v>
      </c>
      <c r="C777" s="34">
        <v>1.1938</v>
      </c>
      <c r="D777" s="34">
        <v>0</v>
      </c>
      <c r="E777" s="34">
        <v>0</v>
      </c>
      <c r="F777" s="34">
        <v>1</v>
      </c>
      <c r="G777" s="5">
        <f t="shared" si="12"/>
        <v>0</v>
      </c>
    </row>
    <row r="778" spans="1:7" x14ac:dyDescent="0.3">
      <c r="A778" s="33">
        <v>46003.539675925924</v>
      </c>
      <c r="B778" s="34">
        <v>7770</v>
      </c>
      <c r="C778" s="34">
        <v>1.1975</v>
      </c>
      <c r="D778" s="34">
        <v>0</v>
      </c>
      <c r="E778" s="34">
        <v>0</v>
      </c>
      <c r="F778" s="34">
        <v>1</v>
      </c>
      <c r="G778" s="5">
        <f t="shared" si="12"/>
        <v>0</v>
      </c>
    </row>
    <row r="779" spans="1:7" x14ac:dyDescent="0.3">
      <c r="A779" s="33">
        <v>46003.53979166667</v>
      </c>
      <c r="B779" s="34">
        <v>7780</v>
      </c>
      <c r="C779" s="34">
        <v>0.92369999999999997</v>
      </c>
      <c r="D779" s="34">
        <v>319.66520000000003</v>
      </c>
      <c r="E779" s="34">
        <v>294.99099999999999</v>
      </c>
      <c r="F779" s="34">
        <v>0</v>
      </c>
      <c r="G779" s="5">
        <f t="shared" si="12"/>
        <v>0.44397944444444448</v>
      </c>
    </row>
    <row r="780" spans="1:7" x14ac:dyDescent="0.3">
      <c r="A780" s="33">
        <v>46003.539907407408</v>
      </c>
      <c r="B780" s="34">
        <v>7790</v>
      </c>
      <c r="C780" s="34">
        <v>0.91500000000000004</v>
      </c>
      <c r="D780" s="34">
        <v>316.69029999999998</v>
      </c>
      <c r="E780" s="34">
        <v>289.99115</v>
      </c>
      <c r="F780" s="34">
        <v>0</v>
      </c>
      <c r="G780" s="5">
        <f t="shared" si="12"/>
        <v>0.88382708333333337</v>
      </c>
    </row>
    <row r="781" spans="1:7" x14ac:dyDescent="0.3">
      <c r="A781" s="33">
        <v>46003.540023148147</v>
      </c>
      <c r="B781" s="34">
        <v>7800</v>
      </c>
      <c r="C781" s="34">
        <v>0.91</v>
      </c>
      <c r="D781" s="34">
        <v>314.94040000000001</v>
      </c>
      <c r="E781" s="34">
        <v>286.86624</v>
      </c>
      <c r="F781" s="34">
        <v>0</v>
      </c>
      <c r="G781" s="5">
        <f t="shared" si="12"/>
        <v>0.87726486111111102</v>
      </c>
    </row>
    <row r="782" spans="1:7" x14ac:dyDescent="0.3">
      <c r="A782" s="33">
        <v>46003.540138888886</v>
      </c>
      <c r="B782" s="34">
        <v>7810</v>
      </c>
      <c r="C782" s="34">
        <v>0.90500000000000003</v>
      </c>
      <c r="D782" s="34">
        <v>313.66539999999998</v>
      </c>
      <c r="E782" s="34">
        <v>283.74133</v>
      </c>
      <c r="F782" s="34">
        <v>0</v>
      </c>
      <c r="G782" s="5">
        <f t="shared" si="12"/>
        <v>0.87306361111111119</v>
      </c>
    </row>
    <row r="783" spans="1:7" x14ac:dyDescent="0.3">
      <c r="A783" s="33">
        <v>46003.540254629632</v>
      </c>
      <c r="B783" s="34">
        <v>7820</v>
      </c>
      <c r="C783" s="34">
        <v>0.90129999999999999</v>
      </c>
      <c r="D783" s="34">
        <v>312.66539999999998</v>
      </c>
      <c r="E783" s="34">
        <v>281.86639000000002</v>
      </c>
      <c r="F783" s="34">
        <v>0</v>
      </c>
      <c r="G783" s="5">
        <f t="shared" si="12"/>
        <v>0.86990388888888881</v>
      </c>
    </row>
    <row r="784" spans="1:7" x14ac:dyDescent="0.3">
      <c r="A784" s="33">
        <v>46003.540370370371</v>
      </c>
      <c r="B784" s="34">
        <v>7830</v>
      </c>
      <c r="C784" s="34">
        <v>0.89880000000000004</v>
      </c>
      <c r="D784" s="34">
        <v>311.84050000000002</v>
      </c>
      <c r="E784" s="34">
        <v>280.61642000000001</v>
      </c>
      <c r="F784" s="34">
        <v>0</v>
      </c>
      <c r="G784" s="5">
        <f t="shared" si="12"/>
        <v>0.86736930555555558</v>
      </c>
    </row>
    <row r="785" spans="1:7" x14ac:dyDescent="0.3">
      <c r="A785" s="33">
        <v>46003.540486111109</v>
      </c>
      <c r="B785" s="34">
        <v>7840</v>
      </c>
      <c r="C785" s="34">
        <v>0.89749999999999996</v>
      </c>
      <c r="D785" s="34">
        <v>311.14049999999997</v>
      </c>
      <c r="E785" s="34">
        <v>279.36649</v>
      </c>
      <c r="F785" s="34">
        <v>0</v>
      </c>
      <c r="G785" s="5">
        <f t="shared" si="12"/>
        <v>0.86525138888888886</v>
      </c>
    </row>
    <row r="786" spans="1:7" x14ac:dyDescent="0.3">
      <c r="A786" s="33">
        <v>46003.540601851855</v>
      </c>
      <c r="B786" s="34">
        <v>7850</v>
      </c>
      <c r="C786" s="34">
        <v>0.89629999999999999</v>
      </c>
      <c r="D786" s="34">
        <v>310.56549999999999</v>
      </c>
      <c r="E786" s="34">
        <v>278.11651999999998</v>
      </c>
      <c r="F786" s="34">
        <v>0</v>
      </c>
      <c r="G786" s="5">
        <f t="shared" si="12"/>
        <v>0.86348055555555547</v>
      </c>
    </row>
    <row r="787" spans="1:7" x14ac:dyDescent="0.3">
      <c r="A787" s="33">
        <v>46003.540717592594</v>
      </c>
      <c r="B787" s="34">
        <v>7860</v>
      </c>
      <c r="C787" s="34">
        <v>0.89370000000000005</v>
      </c>
      <c r="D787" s="34">
        <v>310.06549999999999</v>
      </c>
      <c r="E787" s="34">
        <v>277.49151999999998</v>
      </c>
      <c r="F787" s="34">
        <v>0</v>
      </c>
      <c r="G787" s="5">
        <f t="shared" si="12"/>
        <v>0.86198750000000002</v>
      </c>
    </row>
    <row r="788" spans="1:7" x14ac:dyDescent="0.3">
      <c r="A788" s="33">
        <v>46003.540833333333</v>
      </c>
      <c r="B788" s="34">
        <v>7870</v>
      </c>
      <c r="C788" s="34">
        <v>0.89249999999999996</v>
      </c>
      <c r="D788" s="34">
        <v>309.6155</v>
      </c>
      <c r="E788" s="34">
        <v>276.24158</v>
      </c>
      <c r="F788" s="34">
        <v>0</v>
      </c>
      <c r="G788" s="5">
        <f t="shared" si="12"/>
        <v>0.86066805555555559</v>
      </c>
    </row>
    <row r="789" spans="1:7" x14ac:dyDescent="0.3">
      <c r="A789" s="33">
        <v>46003.540949074071</v>
      </c>
      <c r="B789" s="34">
        <v>7880</v>
      </c>
      <c r="C789" s="34">
        <v>0.89119999999999999</v>
      </c>
      <c r="D789" s="34">
        <v>309.21550000000002</v>
      </c>
      <c r="E789" s="34">
        <v>275.61658</v>
      </c>
      <c r="F789" s="34">
        <v>0</v>
      </c>
      <c r="G789" s="5">
        <f t="shared" si="12"/>
        <v>0.85948750000000007</v>
      </c>
    </row>
    <row r="790" spans="1:7" x14ac:dyDescent="0.3">
      <c r="A790" s="33">
        <v>46003.541064814817</v>
      </c>
      <c r="B790" s="34">
        <v>7890</v>
      </c>
      <c r="C790" s="34">
        <v>0.89</v>
      </c>
      <c r="D790" s="34">
        <v>308.84059999999999</v>
      </c>
      <c r="E790" s="34">
        <v>274.36664000000002</v>
      </c>
      <c r="F790" s="34">
        <v>0</v>
      </c>
      <c r="G790" s="5">
        <f t="shared" si="12"/>
        <v>0.85841125000000007</v>
      </c>
    </row>
    <row r="791" spans="1:7" x14ac:dyDescent="0.3">
      <c r="A791" s="33">
        <v>46003.541180555556</v>
      </c>
      <c r="B791" s="34">
        <v>7900</v>
      </c>
      <c r="C791" s="34">
        <v>0.88870000000000005</v>
      </c>
      <c r="D791" s="34">
        <v>308.51560000000001</v>
      </c>
      <c r="E791" s="34">
        <v>274.36664000000002</v>
      </c>
      <c r="F791" s="34">
        <v>0</v>
      </c>
      <c r="G791" s="5">
        <f t="shared" si="12"/>
        <v>0.85743916666666664</v>
      </c>
    </row>
    <row r="792" spans="1:7" x14ac:dyDescent="0.3">
      <c r="A792" s="33">
        <v>46003.541296296295</v>
      </c>
      <c r="B792" s="34">
        <v>7910</v>
      </c>
      <c r="C792" s="34">
        <v>0.88870000000000005</v>
      </c>
      <c r="D792" s="34">
        <v>308.21559999999999</v>
      </c>
      <c r="E792" s="34">
        <v>273.74164000000002</v>
      </c>
      <c r="F792" s="34">
        <v>0</v>
      </c>
      <c r="G792" s="5">
        <f t="shared" si="12"/>
        <v>0.85657111111111106</v>
      </c>
    </row>
    <row r="793" spans="1:7" x14ac:dyDescent="0.3">
      <c r="A793" s="33">
        <v>46003.541412037041</v>
      </c>
      <c r="B793" s="34">
        <v>7920</v>
      </c>
      <c r="C793" s="34">
        <v>0.88870000000000005</v>
      </c>
      <c r="D793" s="34">
        <v>307.91559999999998</v>
      </c>
      <c r="E793" s="34">
        <v>273.11667</v>
      </c>
      <c r="F793" s="34">
        <v>0</v>
      </c>
      <c r="G793" s="5">
        <f t="shared" si="12"/>
        <v>0.85573777777777782</v>
      </c>
    </row>
    <row r="794" spans="1:7" x14ac:dyDescent="0.3">
      <c r="A794" s="33">
        <v>46003.541527777779</v>
      </c>
      <c r="B794" s="34">
        <v>7930</v>
      </c>
      <c r="C794" s="34">
        <v>0.88749999999999996</v>
      </c>
      <c r="D794" s="34">
        <v>307.64060000000001</v>
      </c>
      <c r="E794" s="34">
        <v>273.11667</v>
      </c>
      <c r="F794" s="34">
        <v>0</v>
      </c>
      <c r="G794" s="5">
        <f t="shared" si="12"/>
        <v>0.85493916666666669</v>
      </c>
    </row>
    <row r="795" spans="1:7" x14ac:dyDescent="0.3">
      <c r="A795" s="33">
        <v>46003.541643518518</v>
      </c>
      <c r="B795" s="34">
        <v>7940</v>
      </c>
      <c r="C795" s="34">
        <v>0.88619999999999999</v>
      </c>
      <c r="D795" s="34">
        <v>307.39060000000001</v>
      </c>
      <c r="E795" s="34">
        <v>272.49169999999998</v>
      </c>
      <c r="F795" s="34">
        <v>0</v>
      </c>
      <c r="G795" s="5">
        <f t="shared" si="12"/>
        <v>0.85421000000000002</v>
      </c>
    </row>
    <row r="796" spans="1:7" x14ac:dyDescent="0.3">
      <c r="A796" s="33">
        <v>46003.541759259257</v>
      </c>
      <c r="B796" s="34">
        <v>7950</v>
      </c>
      <c r="C796" s="34">
        <v>0.88500000000000001</v>
      </c>
      <c r="D796" s="34">
        <v>307.16559999999998</v>
      </c>
      <c r="E796" s="34">
        <v>271.86669999999998</v>
      </c>
      <c r="F796" s="34">
        <v>0</v>
      </c>
      <c r="G796" s="5">
        <f t="shared" si="12"/>
        <v>0.85355027777777781</v>
      </c>
    </row>
    <row r="797" spans="1:7" x14ac:dyDescent="0.3">
      <c r="A797" s="33">
        <v>46003.541875000003</v>
      </c>
      <c r="B797" s="34">
        <v>7960</v>
      </c>
      <c r="C797" s="34">
        <v>0.88500000000000001</v>
      </c>
      <c r="D797" s="34">
        <v>306.96559999999999</v>
      </c>
      <c r="E797" s="34">
        <v>271.24173000000002</v>
      </c>
      <c r="F797" s="34">
        <v>0</v>
      </c>
      <c r="G797" s="5">
        <f t="shared" si="12"/>
        <v>0.85296000000000005</v>
      </c>
    </row>
    <row r="798" spans="1:7" x14ac:dyDescent="0.3">
      <c r="A798" s="33">
        <v>46003.541990740741</v>
      </c>
      <c r="B798" s="34">
        <v>7970</v>
      </c>
      <c r="C798" s="34">
        <v>0.88370000000000004</v>
      </c>
      <c r="D798" s="34">
        <v>306.74059999999997</v>
      </c>
      <c r="E798" s="34">
        <v>271.24173000000002</v>
      </c>
      <c r="F798" s="34">
        <v>0</v>
      </c>
      <c r="G798" s="5">
        <f t="shared" si="12"/>
        <v>0.85236972222222218</v>
      </c>
    </row>
    <row r="799" spans="1:7" x14ac:dyDescent="0.3">
      <c r="A799" s="33">
        <v>46003.54210648148</v>
      </c>
      <c r="B799" s="34">
        <v>7980</v>
      </c>
      <c r="C799" s="34">
        <v>0.88370000000000004</v>
      </c>
      <c r="D799" s="34">
        <v>306.54059999999998</v>
      </c>
      <c r="E799" s="34">
        <v>271.24173000000002</v>
      </c>
      <c r="F799" s="34">
        <v>0</v>
      </c>
      <c r="G799" s="5">
        <f t="shared" si="12"/>
        <v>0.85177944444444431</v>
      </c>
    </row>
    <row r="800" spans="1:7" x14ac:dyDescent="0.3">
      <c r="A800" s="33">
        <v>46003.542222222219</v>
      </c>
      <c r="B800" s="34">
        <v>7990</v>
      </c>
      <c r="C800" s="34">
        <v>0.88249999999999995</v>
      </c>
      <c r="D800" s="34">
        <v>306.34059999999999</v>
      </c>
      <c r="E800" s="34">
        <v>270.61673000000002</v>
      </c>
      <c r="F800" s="34">
        <v>0</v>
      </c>
      <c r="G800" s="5">
        <f t="shared" si="12"/>
        <v>0.851223888888889</v>
      </c>
    </row>
    <row r="801" spans="1:7" x14ac:dyDescent="0.3">
      <c r="A801" s="33">
        <v>46003.542337962965</v>
      </c>
      <c r="B801" s="34">
        <v>8000</v>
      </c>
      <c r="C801" s="34">
        <v>0.88249999999999995</v>
      </c>
      <c r="D801" s="34">
        <v>306.14069999999998</v>
      </c>
      <c r="E801" s="34">
        <v>270.61673000000002</v>
      </c>
      <c r="F801" s="34">
        <v>0</v>
      </c>
      <c r="G801" s="5">
        <f t="shared" si="12"/>
        <v>0.85066847222222219</v>
      </c>
    </row>
    <row r="802" spans="1:7" x14ac:dyDescent="0.3">
      <c r="A802" s="33">
        <v>46003.542453703703</v>
      </c>
      <c r="B802" s="34">
        <v>8010</v>
      </c>
      <c r="C802" s="34">
        <v>0.88119999999999998</v>
      </c>
      <c r="D802" s="34">
        <v>305.96559999999999</v>
      </c>
      <c r="E802" s="34">
        <v>269.99176</v>
      </c>
      <c r="F802" s="34">
        <v>0</v>
      </c>
      <c r="G802" s="5">
        <f t="shared" si="12"/>
        <v>0.85014763888888878</v>
      </c>
    </row>
    <row r="803" spans="1:7" x14ac:dyDescent="0.3">
      <c r="A803" s="33">
        <v>46003.542569444442</v>
      </c>
      <c r="B803" s="34">
        <v>8020</v>
      </c>
      <c r="C803" s="34">
        <v>0.88119999999999998</v>
      </c>
      <c r="D803" s="34">
        <v>305.76569999999998</v>
      </c>
      <c r="E803" s="34">
        <v>269.36678999999998</v>
      </c>
      <c r="F803" s="34">
        <v>0</v>
      </c>
      <c r="G803" s="5">
        <f t="shared" si="12"/>
        <v>0.84962680555555548</v>
      </c>
    </row>
    <row r="804" spans="1:7" x14ac:dyDescent="0.3">
      <c r="A804" s="33">
        <v>46003.542685185188</v>
      </c>
      <c r="B804" s="34">
        <v>8030</v>
      </c>
      <c r="C804" s="34">
        <v>0.88</v>
      </c>
      <c r="D804" s="34">
        <v>305.59070000000003</v>
      </c>
      <c r="E804" s="34">
        <v>269.36678999999998</v>
      </c>
      <c r="F804" s="34">
        <v>0</v>
      </c>
      <c r="G804" s="5">
        <f t="shared" si="12"/>
        <v>0.84910611111111112</v>
      </c>
    </row>
    <row r="805" spans="1:7" x14ac:dyDescent="0.3">
      <c r="A805" s="33">
        <v>46003.542800925927</v>
      </c>
      <c r="B805" s="34">
        <v>8040</v>
      </c>
      <c r="C805" s="34">
        <v>0.87870000000000004</v>
      </c>
      <c r="D805" s="34">
        <v>305.41570000000002</v>
      </c>
      <c r="E805" s="34">
        <v>268.11682000000002</v>
      </c>
      <c r="F805" s="34">
        <v>0</v>
      </c>
      <c r="G805" s="5">
        <f t="shared" si="12"/>
        <v>0.84862000000000004</v>
      </c>
    </row>
    <row r="806" spans="1:7" x14ac:dyDescent="0.3">
      <c r="A806" s="33">
        <v>46003.542916666665</v>
      </c>
      <c r="B806" s="34">
        <v>8050</v>
      </c>
      <c r="C806" s="34">
        <v>0.88</v>
      </c>
      <c r="D806" s="34">
        <v>305.2407</v>
      </c>
      <c r="E806" s="34">
        <v>268.11682000000002</v>
      </c>
      <c r="F806" s="34">
        <v>0</v>
      </c>
      <c r="G806" s="5">
        <f t="shared" si="12"/>
        <v>0.84813388888888908</v>
      </c>
    </row>
    <row r="807" spans="1:7" x14ac:dyDescent="0.3">
      <c r="A807" s="33">
        <v>46003.543032407404</v>
      </c>
      <c r="B807" s="34">
        <v>8060</v>
      </c>
      <c r="C807" s="34">
        <v>0.87870000000000004</v>
      </c>
      <c r="D807" s="34">
        <v>305.04070000000002</v>
      </c>
      <c r="E807" s="34">
        <v>268.11682000000002</v>
      </c>
      <c r="F807" s="34">
        <v>0</v>
      </c>
      <c r="G807" s="5">
        <f t="shared" si="12"/>
        <v>0.84761305555555566</v>
      </c>
    </row>
    <row r="808" spans="1:7" x14ac:dyDescent="0.3">
      <c r="A808" s="33">
        <v>46003.54314814815</v>
      </c>
      <c r="B808" s="34">
        <v>8070</v>
      </c>
      <c r="C808" s="34">
        <v>0.88</v>
      </c>
      <c r="D808" s="34">
        <v>304.84070000000003</v>
      </c>
      <c r="E808" s="34">
        <v>268.11682000000002</v>
      </c>
      <c r="F808" s="34">
        <v>0</v>
      </c>
      <c r="G808" s="5">
        <f t="shared" si="12"/>
        <v>0.84705750000000002</v>
      </c>
    </row>
    <row r="809" spans="1:7" x14ac:dyDescent="0.3">
      <c r="A809" s="33">
        <v>46003.543263888889</v>
      </c>
      <c r="B809" s="34">
        <v>8080</v>
      </c>
      <c r="C809" s="34">
        <v>1.1463000000000001</v>
      </c>
      <c r="D809" s="34">
        <v>0</v>
      </c>
      <c r="E809" s="34">
        <v>0</v>
      </c>
      <c r="F809" s="34">
        <v>1</v>
      </c>
      <c r="G809" s="5">
        <f t="shared" si="12"/>
        <v>0.42338986111111115</v>
      </c>
    </row>
    <row r="810" spans="1:7" x14ac:dyDescent="0.3">
      <c r="A810" s="33">
        <v>46003.543379629627</v>
      </c>
      <c r="B810" s="34">
        <v>8090</v>
      </c>
      <c r="C810" s="34">
        <v>1.1587000000000001</v>
      </c>
      <c r="D810" s="34">
        <v>0</v>
      </c>
      <c r="E810" s="34">
        <v>0</v>
      </c>
      <c r="F810" s="34">
        <v>1</v>
      </c>
      <c r="G810" s="5">
        <f t="shared" si="12"/>
        <v>0</v>
      </c>
    </row>
    <row r="811" spans="1:7" x14ac:dyDescent="0.3">
      <c r="A811" s="33">
        <v>46003.543495370373</v>
      </c>
      <c r="B811" s="34">
        <v>8100</v>
      </c>
      <c r="C811" s="34">
        <v>1.165</v>
      </c>
      <c r="D811" s="34">
        <v>0</v>
      </c>
      <c r="E811" s="34">
        <v>0</v>
      </c>
      <c r="F811" s="34">
        <v>1</v>
      </c>
      <c r="G811" s="5">
        <f t="shared" si="12"/>
        <v>0</v>
      </c>
    </row>
    <row r="812" spans="1:7" x14ac:dyDescent="0.3">
      <c r="A812" s="33">
        <v>46003.543611111112</v>
      </c>
      <c r="B812" s="34">
        <v>8110</v>
      </c>
      <c r="C812" s="34">
        <v>1.1712</v>
      </c>
      <c r="D812" s="34">
        <v>0</v>
      </c>
      <c r="E812" s="34">
        <v>0</v>
      </c>
      <c r="F812" s="34">
        <v>1</v>
      </c>
      <c r="G812" s="5">
        <f t="shared" si="12"/>
        <v>0</v>
      </c>
    </row>
    <row r="813" spans="1:7" x14ac:dyDescent="0.3">
      <c r="A813" s="33">
        <v>46003.543726851851</v>
      </c>
      <c r="B813" s="34">
        <v>8120</v>
      </c>
      <c r="C813" s="34">
        <v>1.1761999999999999</v>
      </c>
      <c r="D813" s="34">
        <v>0</v>
      </c>
      <c r="E813" s="34">
        <v>0</v>
      </c>
      <c r="F813" s="34">
        <v>1</v>
      </c>
      <c r="G813" s="5">
        <f t="shared" si="12"/>
        <v>0</v>
      </c>
    </row>
    <row r="814" spans="1:7" x14ac:dyDescent="0.3">
      <c r="A814" s="33">
        <v>46003.543842592589</v>
      </c>
      <c r="B814" s="34">
        <v>8130</v>
      </c>
      <c r="C814" s="34">
        <v>1.18</v>
      </c>
      <c r="D814" s="34">
        <v>0</v>
      </c>
      <c r="E814" s="34">
        <v>0</v>
      </c>
      <c r="F814" s="34">
        <v>1</v>
      </c>
      <c r="G814" s="5">
        <f t="shared" si="12"/>
        <v>0</v>
      </c>
    </row>
    <row r="815" spans="1:7" x14ac:dyDescent="0.3">
      <c r="A815" s="33">
        <v>46003.543958333335</v>
      </c>
      <c r="B815" s="34">
        <v>8140</v>
      </c>
      <c r="C815" s="34">
        <v>1.1825000000000001</v>
      </c>
      <c r="D815" s="34">
        <v>0</v>
      </c>
      <c r="E815" s="34">
        <v>0</v>
      </c>
      <c r="F815" s="34">
        <v>1</v>
      </c>
      <c r="G815" s="5">
        <f t="shared" si="12"/>
        <v>0</v>
      </c>
    </row>
    <row r="816" spans="1:7" x14ac:dyDescent="0.3">
      <c r="A816" s="33">
        <v>46003.544074074074</v>
      </c>
      <c r="B816" s="34">
        <v>8150</v>
      </c>
      <c r="C816" s="34">
        <v>1.1861999999999999</v>
      </c>
      <c r="D816" s="34">
        <v>0</v>
      </c>
      <c r="E816" s="34">
        <v>0</v>
      </c>
      <c r="F816" s="34">
        <v>1</v>
      </c>
      <c r="G816" s="5">
        <f t="shared" si="12"/>
        <v>0</v>
      </c>
    </row>
    <row r="817" spans="1:7" x14ac:dyDescent="0.3">
      <c r="A817" s="33">
        <v>46003.544189814813</v>
      </c>
      <c r="B817" s="34">
        <v>8160</v>
      </c>
      <c r="C817" s="34">
        <v>1.1888000000000001</v>
      </c>
      <c r="D817" s="34">
        <v>0</v>
      </c>
      <c r="E817" s="34">
        <v>0</v>
      </c>
      <c r="F817" s="34">
        <v>1</v>
      </c>
      <c r="G817" s="5">
        <f t="shared" si="12"/>
        <v>0</v>
      </c>
    </row>
    <row r="818" spans="1:7" x14ac:dyDescent="0.3">
      <c r="A818" s="33">
        <v>46003.544305555559</v>
      </c>
      <c r="B818" s="34">
        <v>8170</v>
      </c>
      <c r="C818" s="34">
        <v>0.91369999999999996</v>
      </c>
      <c r="D818" s="34">
        <v>316.09030000000001</v>
      </c>
      <c r="E818" s="34">
        <v>288.74117999999999</v>
      </c>
      <c r="F818" s="34">
        <v>0</v>
      </c>
      <c r="G818" s="5">
        <f t="shared" si="12"/>
        <v>0.4390143055555556</v>
      </c>
    </row>
    <row r="819" spans="1:7" x14ac:dyDescent="0.3">
      <c r="A819" s="33">
        <v>46003.544421296298</v>
      </c>
      <c r="B819" s="34">
        <v>8180</v>
      </c>
      <c r="C819" s="34">
        <v>0.90380000000000005</v>
      </c>
      <c r="D819" s="34">
        <v>313.06540000000001</v>
      </c>
      <c r="E819" s="34">
        <v>282.49139000000002</v>
      </c>
      <c r="F819" s="34">
        <v>0</v>
      </c>
      <c r="G819" s="5">
        <f t="shared" si="12"/>
        <v>0.87382736111111114</v>
      </c>
    </row>
    <row r="820" spans="1:7" x14ac:dyDescent="0.3">
      <c r="A820" s="33">
        <v>46003.544537037036</v>
      </c>
      <c r="B820" s="34">
        <v>8190</v>
      </c>
      <c r="C820" s="34">
        <v>0.89880000000000004</v>
      </c>
      <c r="D820" s="34">
        <v>311.2405</v>
      </c>
      <c r="E820" s="34">
        <v>279.36649</v>
      </c>
      <c r="F820" s="34">
        <v>0</v>
      </c>
      <c r="G820" s="5">
        <f t="shared" si="12"/>
        <v>0.86709152777777787</v>
      </c>
    </row>
    <row r="821" spans="1:7" x14ac:dyDescent="0.3">
      <c r="A821" s="33">
        <v>46003.544652777775</v>
      </c>
      <c r="B821" s="34">
        <v>8200</v>
      </c>
      <c r="C821" s="34">
        <v>0.89370000000000005</v>
      </c>
      <c r="D821" s="34">
        <v>309.91550000000001</v>
      </c>
      <c r="E821" s="34">
        <v>276.24158</v>
      </c>
      <c r="F821" s="34">
        <v>0</v>
      </c>
      <c r="G821" s="5">
        <f t="shared" si="12"/>
        <v>0.86271666666666658</v>
      </c>
    </row>
    <row r="822" spans="1:7" x14ac:dyDescent="0.3">
      <c r="A822" s="33">
        <v>46003.544768518521</v>
      </c>
      <c r="B822" s="34">
        <v>8210</v>
      </c>
      <c r="C822" s="34">
        <v>0.89</v>
      </c>
      <c r="D822" s="34">
        <v>308.89060000000001</v>
      </c>
      <c r="E822" s="34">
        <v>274.36664000000002</v>
      </c>
      <c r="F822" s="34">
        <v>0</v>
      </c>
      <c r="G822" s="5">
        <f t="shared" si="12"/>
        <v>0.85945291666666668</v>
      </c>
    </row>
    <row r="823" spans="1:7" x14ac:dyDescent="0.3">
      <c r="A823" s="33">
        <v>46003.54488425926</v>
      </c>
      <c r="B823" s="34">
        <v>8220</v>
      </c>
      <c r="C823" s="34">
        <v>0.88870000000000005</v>
      </c>
      <c r="D823" s="34">
        <v>308.04059999999998</v>
      </c>
      <c r="E823" s="34">
        <v>273.11667</v>
      </c>
      <c r="F823" s="34">
        <v>0</v>
      </c>
      <c r="G823" s="5">
        <f t="shared" si="12"/>
        <v>0.85684888888888888</v>
      </c>
    </row>
    <row r="824" spans="1:7" x14ac:dyDescent="0.3">
      <c r="A824" s="33">
        <v>46003.544999999998</v>
      </c>
      <c r="B824" s="34">
        <v>8230</v>
      </c>
      <c r="C824" s="34">
        <v>0.88619999999999999</v>
      </c>
      <c r="D824" s="34">
        <v>307.34059999999999</v>
      </c>
      <c r="E824" s="34">
        <v>272.49169999999998</v>
      </c>
      <c r="F824" s="34">
        <v>0</v>
      </c>
      <c r="G824" s="5">
        <f t="shared" si="12"/>
        <v>0.85469611111111121</v>
      </c>
    </row>
    <row r="825" spans="1:7" x14ac:dyDescent="0.3">
      <c r="A825" s="33">
        <v>46003.545115740744</v>
      </c>
      <c r="B825" s="34">
        <v>8240</v>
      </c>
      <c r="C825" s="34">
        <v>0.88370000000000004</v>
      </c>
      <c r="D825" s="34">
        <v>306.74059999999997</v>
      </c>
      <c r="E825" s="34">
        <v>271.24173000000002</v>
      </c>
      <c r="F825" s="34">
        <v>0</v>
      </c>
      <c r="G825" s="5">
        <f t="shared" si="12"/>
        <v>0.8528905555555556</v>
      </c>
    </row>
    <row r="826" spans="1:7" x14ac:dyDescent="0.3">
      <c r="A826" s="33">
        <v>46003.545231481483</v>
      </c>
      <c r="B826" s="34">
        <v>8250</v>
      </c>
      <c r="C826" s="34">
        <v>0.88249999999999995</v>
      </c>
      <c r="D826" s="34">
        <v>306.21559999999999</v>
      </c>
      <c r="E826" s="34">
        <v>269.99176</v>
      </c>
      <c r="F826" s="34">
        <v>0</v>
      </c>
      <c r="G826" s="5">
        <f t="shared" si="12"/>
        <v>0.85132805555555557</v>
      </c>
    </row>
    <row r="827" spans="1:7" x14ac:dyDescent="0.3">
      <c r="A827" s="33">
        <v>46003.545347222222</v>
      </c>
      <c r="B827" s="34">
        <v>8260</v>
      </c>
      <c r="C827" s="34">
        <v>0.88</v>
      </c>
      <c r="D827" s="34">
        <v>305.76569999999998</v>
      </c>
      <c r="E827" s="34">
        <v>269.36678999999998</v>
      </c>
      <c r="F827" s="34">
        <v>0</v>
      </c>
      <c r="G827" s="5">
        <f t="shared" si="12"/>
        <v>0.84997402777777775</v>
      </c>
    </row>
    <row r="828" spans="1:7" x14ac:dyDescent="0.3">
      <c r="A828" s="33">
        <v>46003.54546296296</v>
      </c>
      <c r="B828" s="34">
        <v>8270</v>
      </c>
      <c r="C828" s="34">
        <v>0.87870000000000004</v>
      </c>
      <c r="D828" s="34">
        <v>305.3657</v>
      </c>
      <c r="E828" s="34">
        <v>268.11682000000002</v>
      </c>
      <c r="F828" s="34">
        <v>0</v>
      </c>
      <c r="G828" s="5">
        <f t="shared" si="12"/>
        <v>0.84879361111111107</v>
      </c>
    </row>
    <row r="829" spans="1:7" x14ac:dyDescent="0.3">
      <c r="A829" s="33">
        <v>46003.545578703706</v>
      </c>
      <c r="B829" s="34">
        <v>8280</v>
      </c>
      <c r="C829" s="34">
        <v>0.87749999999999995</v>
      </c>
      <c r="D829" s="34">
        <v>304.9907</v>
      </c>
      <c r="E829" s="34">
        <v>267.49182000000002</v>
      </c>
      <c r="F829" s="34">
        <v>0</v>
      </c>
      <c r="G829" s="5">
        <f t="shared" si="12"/>
        <v>0.84771722222222223</v>
      </c>
    </row>
    <row r="830" spans="1:7" x14ac:dyDescent="0.3">
      <c r="A830" s="33">
        <v>46003.545694444445</v>
      </c>
      <c r="B830" s="34">
        <v>8290</v>
      </c>
      <c r="C830" s="34">
        <v>0.87870000000000004</v>
      </c>
      <c r="D830" s="34">
        <v>304.64069999999998</v>
      </c>
      <c r="E830" s="34">
        <v>267.49182000000002</v>
      </c>
      <c r="F830" s="34">
        <v>0</v>
      </c>
      <c r="G830" s="5">
        <f t="shared" si="12"/>
        <v>0.84671027777777774</v>
      </c>
    </row>
    <row r="831" spans="1:7" x14ac:dyDescent="0.3">
      <c r="A831" s="33">
        <v>46003.545810185184</v>
      </c>
      <c r="B831" s="34">
        <v>8300</v>
      </c>
      <c r="C831" s="34">
        <v>0.87870000000000004</v>
      </c>
      <c r="D831" s="34">
        <v>304.3657</v>
      </c>
      <c r="E831" s="34">
        <v>267.49182000000002</v>
      </c>
      <c r="F831" s="34">
        <v>0</v>
      </c>
      <c r="G831" s="5">
        <f t="shared" si="12"/>
        <v>0.84584222222222227</v>
      </c>
    </row>
    <row r="832" spans="1:7" x14ac:dyDescent="0.3">
      <c r="A832" s="33">
        <v>46003.545925925922</v>
      </c>
      <c r="B832" s="34">
        <v>8310</v>
      </c>
      <c r="C832" s="34">
        <v>0.87749999999999995</v>
      </c>
      <c r="D832" s="34">
        <v>304.06569999999999</v>
      </c>
      <c r="E832" s="34">
        <v>267.49182000000002</v>
      </c>
      <c r="F832" s="34">
        <v>0</v>
      </c>
      <c r="G832" s="5">
        <f t="shared" si="12"/>
        <v>0.84504361111111104</v>
      </c>
    </row>
    <row r="833" spans="1:7" x14ac:dyDescent="0.3">
      <c r="A833" s="33">
        <v>46003.546053240738</v>
      </c>
      <c r="B833" s="34">
        <v>8320</v>
      </c>
      <c r="C833" s="34">
        <v>0.87619999999999998</v>
      </c>
      <c r="D833" s="34">
        <v>303.79070000000002</v>
      </c>
      <c r="E833" s="34">
        <v>266.24187999999998</v>
      </c>
      <c r="F833" s="34">
        <v>0</v>
      </c>
      <c r="G833" s="5">
        <f t="shared" si="12"/>
        <v>0.84424500000000002</v>
      </c>
    </row>
    <row r="834" spans="1:7" x14ac:dyDescent="0.3">
      <c r="A834" s="33">
        <v>46003.546168981484</v>
      </c>
      <c r="B834" s="34">
        <v>8330</v>
      </c>
      <c r="C834" s="34">
        <v>0.875</v>
      </c>
      <c r="D834" s="34">
        <v>303.56569999999999</v>
      </c>
      <c r="E834" s="34">
        <v>264.99191000000002</v>
      </c>
      <c r="F834" s="34">
        <v>0</v>
      </c>
      <c r="G834" s="5">
        <f t="shared" si="12"/>
        <v>0.84355055555555558</v>
      </c>
    </row>
    <row r="835" spans="1:7" x14ac:dyDescent="0.3">
      <c r="A835" s="33">
        <v>46003.546284722222</v>
      </c>
      <c r="B835" s="34">
        <v>8340</v>
      </c>
      <c r="C835" s="34">
        <v>0.875</v>
      </c>
      <c r="D835" s="34">
        <v>303.34070000000003</v>
      </c>
      <c r="E835" s="34">
        <v>264.99191000000002</v>
      </c>
      <c r="F835" s="34">
        <v>0</v>
      </c>
      <c r="G835" s="5">
        <f t="shared" si="12"/>
        <v>0.84292555555555571</v>
      </c>
    </row>
    <row r="836" spans="1:7" x14ac:dyDescent="0.3">
      <c r="A836" s="33">
        <v>46003.546400462961</v>
      </c>
      <c r="B836" s="34">
        <v>8350</v>
      </c>
      <c r="C836" s="34">
        <v>0.87370000000000003</v>
      </c>
      <c r="D836" s="34">
        <v>303.11579999999998</v>
      </c>
      <c r="E836" s="34">
        <v>264.99191000000002</v>
      </c>
      <c r="F836" s="34">
        <v>0</v>
      </c>
      <c r="G836" s="5">
        <f t="shared" si="12"/>
        <v>0.84230069444444444</v>
      </c>
    </row>
    <row r="837" spans="1:7" x14ac:dyDescent="0.3">
      <c r="A837" s="33">
        <v>46003.546516203707</v>
      </c>
      <c r="B837" s="34">
        <v>8360</v>
      </c>
      <c r="C837" s="34">
        <v>0.87370000000000003</v>
      </c>
      <c r="D837" s="34">
        <v>302.89069999999998</v>
      </c>
      <c r="E837" s="34">
        <v>264.36694</v>
      </c>
      <c r="F837" s="34">
        <v>0</v>
      </c>
      <c r="G837" s="5">
        <f t="shared" si="12"/>
        <v>0.84167569444444446</v>
      </c>
    </row>
    <row r="838" spans="1:7" x14ac:dyDescent="0.3">
      <c r="A838" s="33">
        <v>46003.546631944446</v>
      </c>
      <c r="B838" s="34">
        <v>8370</v>
      </c>
      <c r="C838" s="34">
        <v>0.87250000000000005</v>
      </c>
      <c r="D838" s="34">
        <v>302.66570000000002</v>
      </c>
      <c r="E838" s="34">
        <v>264.36694</v>
      </c>
      <c r="F838" s="34">
        <v>0</v>
      </c>
      <c r="G838" s="5">
        <f t="shared" si="12"/>
        <v>0.84105055555555552</v>
      </c>
    </row>
    <row r="839" spans="1:7" x14ac:dyDescent="0.3">
      <c r="A839" s="33">
        <v>46003.546747685185</v>
      </c>
      <c r="B839" s="34">
        <v>8380</v>
      </c>
      <c r="C839" s="34">
        <v>0.87250000000000005</v>
      </c>
      <c r="D839" s="34">
        <v>302.4658</v>
      </c>
      <c r="E839" s="34">
        <v>263.74194</v>
      </c>
      <c r="F839" s="34">
        <v>0</v>
      </c>
      <c r="G839" s="5">
        <f t="shared" ref="G839:G902" si="13">($B$2/3600)*((D838+D839)/2)</f>
        <v>0.8404604166666666</v>
      </c>
    </row>
    <row r="840" spans="1:7" x14ac:dyDescent="0.3">
      <c r="A840" s="33">
        <v>46003.546863425923</v>
      </c>
      <c r="B840" s="34">
        <v>8390</v>
      </c>
      <c r="C840" s="34">
        <v>0.87119999999999997</v>
      </c>
      <c r="D840" s="34">
        <v>302.24079999999998</v>
      </c>
      <c r="E840" s="34">
        <v>263.11696999999998</v>
      </c>
      <c r="F840" s="34">
        <v>0</v>
      </c>
      <c r="G840" s="5">
        <f t="shared" si="13"/>
        <v>0.83987027777777779</v>
      </c>
    </row>
    <row r="841" spans="1:7" x14ac:dyDescent="0.3">
      <c r="A841" s="33">
        <v>46003.546979166669</v>
      </c>
      <c r="B841" s="34">
        <v>8400</v>
      </c>
      <c r="C841" s="34">
        <v>0.87</v>
      </c>
      <c r="D841" s="34">
        <v>302.04079999999999</v>
      </c>
      <c r="E841" s="34">
        <v>263.11696999999998</v>
      </c>
      <c r="F841" s="34">
        <v>0</v>
      </c>
      <c r="G841" s="5">
        <f t="shared" si="13"/>
        <v>0.83928000000000003</v>
      </c>
    </row>
    <row r="842" spans="1:7" x14ac:dyDescent="0.3">
      <c r="A842" s="33">
        <v>46003.547094907408</v>
      </c>
      <c r="B842" s="34">
        <v>8410</v>
      </c>
      <c r="C842" s="34">
        <v>0.87</v>
      </c>
      <c r="D842" s="34">
        <v>301.8408</v>
      </c>
      <c r="E842" s="34">
        <v>261.86700000000002</v>
      </c>
      <c r="F842" s="34">
        <v>0</v>
      </c>
      <c r="G842" s="5">
        <f t="shared" si="13"/>
        <v>0.83872444444444438</v>
      </c>
    </row>
    <row r="843" spans="1:7" x14ac:dyDescent="0.3">
      <c r="A843" s="33">
        <v>46003.547210648147</v>
      </c>
      <c r="B843" s="34">
        <v>8420</v>
      </c>
      <c r="C843" s="34">
        <v>0.87</v>
      </c>
      <c r="D843" s="34">
        <v>301.64080000000001</v>
      </c>
      <c r="E843" s="34">
        <v>261.86700000000002</v>
      </c>
      <c r="F843" s="34">
        <v>0</v>
      </c>
      <c r="G843" s="5">
        <f t="shared" si="13"/>
        <v>0.83816888888888907</v>
      </c>
    </row>
    <row r="844" spans="1:7" x14ac:dyDescent="0.3">
      <c r="A844" s="33">
        <v>46003.547326388885</v>
      </c>
      <c r="B844" s="34">
        <v>8430</v>
      </c>
      <c r="C844" s="34">
        <v>0.87</v>
      </c>
      <c r="D844" s="34">
        <v>301.44080000000002</v>
      </c>
      <c r="E844" s="34">
        <v>261.86700000000002</v>
      </c>
      <c r="F844" s="34">
        <v>0</v>
      </c>
      <c r="G844" s="5">
        <f t="shared" si="13"/>
        <v>0.83761333333333332</v>
      </c>
    </row>
    <row r="845" spans="1:7" x14ac:dyDescent="0.3">
      <c r="A845" s="33">
        <v>46003.547442129631</v>
      </c>
      <c r="B845" s="34">
        <v>8440</v>
      </c>
      <c r="C845" s="34">
        <v>0.86870000000000003</v>
      </c>
      <c r="D845" s="34">
        <v>301.24079999999998</v>
      </c>
      <c r="E845" s="34">
        <v>261.86700000000002</v>
      </c>
      <c r="F845" s="34">
        <v>0</v>
      </c>
      <c r="G845" s="5">
        <f t="shared" si="13"/>
        <v>0.83705777777777779</v>
      </c>
    </row>
    <row r="846" spans="1:7" x14ac:dyDescent="0.3">
      <c r="A846" s="33">
        <v>46003.54755787037</v>
      </c>
      <c r="B846" s="34">
        <v>8450</v>
      </c>
      <c r="C846" s="34">
        <v>0.86870000000000003</v>
      </c>
      <c r="D846" s="34">
        <v>301.01580000000001</v>
      </c>
      <c r="E846" s="34">
        <v>261.24203</v>
      </c>
      <c r="F846" s="34">
        <v>0</v>
      </c>
      <c r="G846" s="5">
        <f t="shared" si="13"/>
        <v>0.83646749999999992</v>
      </c>
    </row>
    <row r="847" spans="1:7" x14ac:dyDescent="0.3">
      <c r="A847" s="33">
        <v>46003.547673611109</v>
      </c>
      <c r="B847" s="34">
        <v>8460</v>
      </c>
      <c r="C847" s="34">
        <v>0.86750000000000005</v>
      </c>
      <c r="D847" s="34">
        <v>300.8408</v>
      </c>
      <c r="E847" s="34">
        <v>261.24203</v>
      </c>
      <c r="F847" s="34">
        <v>0</v>
      </c>
      <c r="G847" s="5">
        <f t="shared" si="13"/>
        <v>0.83591194444444461</v>
      </c>
    </row>
    <row r="848" spans="1:7" x14ac:dyDescent="0.3">
      <c r="A848" s="33">
        <v>46003.547789351855</v>
      </c>
      <c r="B848" s="34">
        <v>8470</v>
      </c>
      <c r="C848" s="34">
        <v>1.1363000000000001</v>
      </c>
      <c r="D848" s="34">
        <v>0</v>
      </c>
      <c r="E848" s="34">
        <v>0</v>
      </c>
      <c r="F848" s="34">
        <v>1</v>
      </c>
      <c r="G848" s="5">
        <f t="shared" si="13"/>
        <v>0.41783444444444445</v>
      </c>
    </row>
    <row r="849" spans="1:7" x14ac:dyDescent="0.3">
      <c r="A849" s="33">
        <v>46003.547905092593</v>
      </c>
      <c r="B849" s="34">
        <v>8480</v>
      </c>
      <c r="C849" s="34">
        <v>1.1499999999999999</v>
      </c>
      <c r="D849" s="34">
        <v>0</v>
      </c>
      <c r="E849" s="34">
        <v>0</v>
      </c>
      <c r="F849" s="34">
        <v>1</v>
      </c>
      <c r="G849" s="5">
        <f t="shared" si="13"/>
        <v>0</v>
      </c>
    </row>
    <row r="850" spans="1:7" x14ac:dyDescent="0.3">
      <c r="A850" s="33">
        <v>46003.548020833332</v>
      </c>
      <c r="B850" s="34">
        <v>8490</v>
      </c>
      <c r="C850" s="34">
        <v>1.1575</v>
      </c>
      <c r="D850" s="34">
        <v>0</v>
      </c>
      <c r="E850" s="34">
        <v>0</v>
      </c>
      <c r="F850" s="34">
        <v>1</v>
      </c>
      <c r="G850" s="5">
        <f t="shared" si="13"/>
        <v>0</v>
      </c>
    </row>
    <row r="851" spans="1:7" x14ac:dyDescent="0.3">
      <c r="A851" s="33">
        <v>46003.548136574071</v>
      </c>
      <c r="B851" s="34">
        <v>8500</v>
      </c>
      <c r="C851" s="34">
        <v>1.1625000000000001</v>
      </c>
      <c r="D851" s="34">
        <v>0</v>
      </c>
      <c r="E851" s="34">
        <v>0</v>
      </c>
      <c r="F851" s="34">
        <v>1</v>
      </c>
      <c r="G851" s="5">
        <f t="shared" si="13"/>
        <v>0</v>
      </c>
    </row>
    <row r="852" spans="1:7" x14ac:dyDescent="0.3">
      <c r="A852" s="33">
        <v>46003.548252314817</v>
      </c>
      <c r="B852" s="34">
        <v>8510</v>
      </c>
      <c r="C852" s="34">
        <v>1.1675</v>
      </c>
      <c r="D852" s="34">
        <v>0</v>
      </c>
      <c r="E852" s="34">
        <v>0</v>
      </c>
      <c r="F852" s="34">
        <v>1</v>
      </c>
      <c r="G852" s="5">
        <f t="shared" si="13"/>
        <v>0</v>
      </c>
    </row>
    <row r="853" spans="1:7" x14ac:dyDescent="0.3">
      <c r="A853" s="33">
        <v>46003.548368055555</v>
      </c>
      <c r="B853" s="34">
        <v>8520</v>
      </c>
      <c r="C853" s="34">
        <v>1.1712</v>
      </c>
      <c r="D853" s="34">
        <v>0</v>
      </c>
      <c r="E853" s="34">
        <v>0</v>
      </c>
      <c r="F853" s="34">
        <v>1</v>
      </c>
      <c r="G853" s="5">
        <f t="shared" si="13"/>
        <v>0</v>
      </c>
    </row>
    <row r="854" spans="1:7" x14ac:dyDescent="0.3">
      <c r="A854" s="33">
        <v>46003.548483796294</v>
      </c>
      <c r="B854" s="34">
        <v>8530</v>
      </c>
      <c r="C854" s="34">
        <v>1.175</v>
      </c>
      <c r="D854" s="34">
        <v>0</v>
      </c>
      <c r="E854" s="34">
        <v>0</v>
      </c>
      <c r="F854" s="34">
        <v>1</v>
      </c>
      <c r="G854" s="5">
        <f t="shared" si="13"/>
        <v>0</v>
      </c>
    </row>
    <row r="855" spans="1:7" x14ac:dyDescent="0.3">
      <c r="A855" s="33">
        <v>46003.54859953704</v>
      </c>
      <c r="B855" s="34">
        <v>8540</v>
      </c>
      <c r="C855" s="34">
        <v>1.1787000000000001</v>
      </c>
      <c r="D855" s="34">
        <v>0</v>
      </c>
      <c r="E855" s="34">
        <v>0</v>
      </c>
      <c r="F855" s="34">
        <v>1</v>
      </c>
      <c r="G855" s="5">
        <f t="shared" si="13"/>
        <v>0</v>
      </c>
    </row>
    <row r="856" spans="1:7" x14ac:dyDescent="0.3">
      <c r="A856" s="33">
        <v>46003.548715277779</v>
      </c>
      <c r="B856" s="34">
        <v>8550</v>
      </c>
      <c r="C856" s="34">
        <v>1.18</v>
      </c>
      <c r="D856" s="34">
        <v>0</v>
      </c>
      <c r="E856" s="34">
        <v>0</v>
      </c>
      <c r="F856" s="34">
        <v>1</v>
      </c>
      <c r="G856" s="5">
        <f t="shared" si="13"/>
        <v>0</v>
      </c>
    </row>
    <row r="857" spans="1:7" x14ac:dyDescent="0.3">
      <c r="A857" s="33">
        <v>46003.548831018517</v>
      </c>
      <c r="B857" s="34">
        <v>8560</v>
      </c>
      <c r="C857" s="34">
        <v>0.90129999999999999</v>
      </c>
      <c r="D857" s="34">
        <v>312.31549999999999</v>
      </c>
      <c r="E857" s="34">
        <v>281.24142000000001</v>
      </c>
      <c r="F857" s="34">
        <v>0</v>
      </c>
      <c r="G857" s="5">
        <f t="shared" si="13"/>
        <v>0.43377152777777778</v>
      </c>
    </row>
    <row r="858" spans="1:7" x14ac:dyDescent="0.3">
      <c r="A858" s="33">
        <v>46003.548946759256</v>
      </c>
      <c r="B858" s="34">
        <v>8570</v>
      </c>
      <c r="C858" s="34">
        <v>0.89119999999999999</v>
      </c>
      <c r="D858" s="34">
        <v>309.06560000000002</v>
      </c>
      <c r="E858" s="34">
        <v>275.61658</v>
      </c>
      <c r="F858" s="34">
        <v>0</v>
      </c>
      <c r="G858" s="5">
        <f t="shared" si="13"/>
        <v>0.86302930555555568</v>
      </c>
    </row>
    <row r="859" spans="1:7" x14ac:dyDescent="0.3">
      <c r="A859" s="33">
        <v>46003.549062500002</v>
      </c>
      <c r="B859" s="34">
        <v>8580</v>
      </c>
      <c r="C859" s="34">
        <v>0.88500000000000001</v>
      </c>
      <c r="D859" s="34">
        <v>307.21559999999999</v>
      </c>
      <c r="E859" s="34">
        <v>271.86669999999998</v>
      </c>
      <c r="F859" s="34">
        <v>0</v>
      </c>
      <c r="G859" s="5">
        <f t="shared" si="13"/>
        <v>0.85594611111111119</v>
      </c>
    </row>
    <row r="860" spans="1:7" x14ac:dyDescent="0.3">
      <c r="A860" s="33">
        <v>46003.549178240741</v>
      </c>
      <c r="B860" s="34">
        <v>8590</v>
      </c>
      <c r="C860" s="34">
        <v>0.88119999999999998</v>
      </c>
      <c r="D860" s="34">
        <v>305.8657</v>
      </c>
      <c r="E860" s="34">
        <v>269.36678999999998</v>
      </c>
      <c r="F860" s="34">
        <v>0</v>
      </c>
      <c r="G860" s="5">
        <f t="shared" si="13"/>
        <v>0.85150180555555566</v>
      </c>
    </row>
    <row r="861" spans="1:7" x14ac:dyDescent="0.3">
      <c r="A861" s="33">
        <v>46003.549293981479</v>
      </c>
      <c r="B861" s="34">
        <v>8600</v>
      </c>
      <c r="C861" s="34">
        <v>0.87870000000000004</v>
      </c>
      <c r="D861" s="34">
        <v>304.79070000000002</v>
      </c>
      <c r="E861" s="34">
        <v>268.11682000000002</v>
      </c>
      <c r="F861" s="34">
        <v>0</v>
      </c>
      <c r="G861" s="5">
        <f t="shared" si="13"/>
        <v>0.84813388888888908</v>
      </c>
    </row>
    <row r="862" spans="1:7" x14ac:dyDescent="0.3">
      <c r="A862" s="33">
        <v>46003.549409722225</v>
      </c>
      <c r="B862" s="34">
        <v>8610</v>
      </c>
      <c r="C862" s="34">
        <v>0.87619999999999998</v>
      </c>
      <c r="D862" s="34">
        <v>303.94069999999999</v>
      </c>
      <c r="E862" s="34">
        <v>266.24187999999998</v>
      </c>
      <c r="F862" s="34">
        <v>0</v>
      </c>
      <c r="G862" s="5">
        <f t="shared" si="13"/>
        <v>0.84546027777777777</v>
      </c>
    </row>
    <row r="863" spans="1:7" x14ac:dyDescent="0.3">
      <c r="A863" s="33">
        <v>46003.549525462964</v>
      </c>
      <c r="B863" s="34">
        <v>8620</v>
      </c>
      <c r="C863" s="34">
        <v>0.875</v>
      </c>
      <c r="D863" s="34">
        <v>303.21570000000003</v>
      </c>
      <c r="E863" s="34">
        <v>264.99191000000002</v>
      </c>
      <c r="F863" s="34">
        <v>0</v>
      </c>
      <c r="G863" s="5">
        <f t="shared" si="13"/>
        <v>0.84327277777777787</v>
      </c>
    </row>
    <row r="864" spans="1:7" x14ac:dyDescent="0.3">
      <c r="A864" s="33">
        <v>46003.549641203703</v>
      </c>
      <c r="B864" s="34">
        <v>8630</v>
      </c>
      <c r="C864" s="34">
        <v>0.87250000000000005</v>
      </c>
      <c r="D864" s="34">
        <v>302.64069999999998</v>
      </c>
      <c r="E864" s="34">
        <v>263.74194</v>
      </c>
      <c r="F864" s="34">
        <v>0</v>
      </c>
      <c r="G864" s="5">
        <f t="shared" si="13"/>
        <v>0.84146722222222226</v>
      </c>
    </row>
    <row r="865" spans="1:7" x14ac:dyDescent="0.3">
      <c r="A865" s="33">
        <v>46003.549756944441</v>
      </c>
      <c r="B865" s="34">
        <v>8640</v>
      </c>
      <c r="C865" s="34">
        <v>0.87</v>
      </c>
      <c r="D865" s="34">
        <v>302.11579999999998</v>
      </c>
      <c r="E865" s="34">
        <v>263.11696999999998</v>
      </c>
      <c r="F865" s="34">
        <v>0</v>
      </c>
      <c r="G865" s="5">
        <f t="shared" si="13"/>
        <v>0.8399395833333333</v>
      </c>
    </row>
    <row r="866" spans="1:7" x14ac:dyDescent="0.3">
      <c r="A866" s="33">
        <v>46003.549872685187</v>
      </c>
      <c r="B866" s="34">
        <v>8650</v>
      </c>
      <c r="C866" s="34">
        <v>0.87</v>
      </c>
      <c r="D866" s="34">
        <v>301.64080000000001</v>
      </c>
      <c r="E866" s="34">
        <v>261.86700000000002</v>
      </c>
      <c r="F866" s="34">
        <v>0</v>
      </c>
      <c r="G866" s="5">
        <f t="shared" si="13"/>
        <v>0.83855083333333325</v>
      </c>
    </row>
    <row r="867" spans="1:7" x14ac:dyDescent="0.3">
      <c r="A867" s="33">
        <v>46003.549988425926</v>
      </c>
      <c r="B867" s="34">
        <v>8660</v>
      </c>
      <c r="C867" s="34">
        <v>0.86750000000000005</v>
      </c>
      <c r="D867" s="34">
        <v>301.2158</v>
      </c>
      <c r="E867" s="34">
        <v>261.24203</v>
      </c>
      <c r="F867" s="34">
        <v>0</v>
      </c>
      <c r="G867" s="5">
        <f t="shared" si="13"/>
        <v>0.83730083333333349</v>
      </c>
    </row>
    <row r="868" spans="1:7" x14ac:dyDescent="0.3">
      <c r="A868" s="33">
        <v>46003.550104166665</v>
      </c>
      <c r="B868" s="34">
        <v>8670</v>
      </c>
      <c r="C868" s="34">
        <v>0.86619999999999997</v>
      </c>
      <c r="D868" s="34">
        <v>300.8408</v>
      </c>
      <c r="E868" s="34">
        <v>260.61703</v>
      </c>
      <c r="F868" s="34">
        <v>0</v>
      </c>
      <c r="G868" s="5">
        <f t="shared" si="13"/>
        <v>0.83618972222222221</v>
      </c>
    </row>
    <row r="869" spans="1:7" x14ac:dyDescent="0.3">
      <c r="A869" s="33">
        <v>46003.550219907411</v>
      </c>
      <c r="B869" s="34">
        <v>8680</v>
      </c>
      <c r="C869" s="34">
        <v>0.86499999999999999</v>
      </c>
      <c r="D869" s="34">
        <v>300.49079999999998</v>
      </c>
      <c r="E869" s="34">
        <v>259.99207000000001</v>
      </c>
      <c r="F869" s="34">
        <v>0</v>
      </c>
      <c r="G869" s="5">
        <f t="shared" si="13"/>
        <v>0.83518277777777783</v>
      </c>
    </row>
    <row r="870" spans="1:7" x14ac:dyDescent="0.3">
      <c r="A870" s="33">
        <v>46003.550335648149</v>
      </c>
      <c r="B870" s="34">
        <v>8690</v>
      </c>
      <c r="C870" s="34">
        <v>0.86499999999999999</v>
      </c>
      <c r="D870" s="34">
        <v>300.16579999999999</v>
      </c>
      <c r="E870" s="34">
        <v>259.99207000000001</v>
      </c>
      <c r="F870" s="34">
        <v>0</v>
      </c>
      <c r="G870" s="5">
        <f t="shared" si="13"/>
        <v>0.83424527777777779</v>
      </c>
    </row>
    <row r="871" spans="1:7" x14ac:dyDescent="0.3">
      <c r="A871" s="33">
        <v>46003.550451388888</v>
      </c>
      <c r="B871" s="34">
        <v>8700</v>
      </c>
      <c r="C871" s="34">
        <v>0.86370000000000002</v>
      </c>
      <c r="D871" s="34">
        <v>299.84089999999998</v>
      </c>
      <c r="E871" s="34">
        <v>259.36709999999999</v>
      </c>
      <c r="F871" s="34">
        <v>0</v>
      </c>
      <c r="G871" s="5">
        <f t="shared" si="13"/>
        <v>0.83334263888888882</v>
      </c>
    </row>
    <row r="872" spans="1:7" x14ac:dyDescent="0.3">
      <c r="A872" s="33">
        <v>46003.550567129627</v>
      </c>
      <c r="B872" s="34">
        <v>8710</v>
      </c>
      <c r="C872" s="34">
        <v>0.86250000000000004</v>
      </c>
      <c r="D872" s="34">
        <v>299.54090000000002</v>
      </c>
      <c r="E872" s="34">
        <v>258.11712999999997</v>
      </c>
      <c r="F872" s="34">
        <v>0</v>
      </c>
      <c r="G872" s="5">
        <f t="shared" si="13"/>
        <v>0.8324747222222223</v>
      </c>
    </row>
    <row r="873" spans="1:7" x14ac:dyDescent="0.3">
      <c r="A873" s="33">
        <v>46003.550682870373</v>
      </c>
      <c r="B873" s="34">
        <v>8720</v>
      </c>
      <c r="C873" s="34">
        <v>0.86119999999999997</v>
      </c>
      <c r="D873" s="34">
        <v>299.29090000000002</v>
      </c>
      <c r="E873" s="34">
        <v>258.11712999999997</v>
      </c>
      <c r="F873" s="34">
        <v>0</v>
      </c>
      <c r="G873" s="5">
        <f t="shared" si="13"/>
        <v>0.8317108333333334</v>
      </c>
    </row>
    <row r="874" spans="1:7" x14ac:dyDescent="0.3">
      <c r="A874" s="33">
        <v>46003.550798611112</v>
      </c>
      <c r="B874" s="34">
        <v>8730</v>
      </c>
      <c r="C874" s="34">
        <v>0.86119999999999997</v>
      </c>
      <c r="D874" s="34">
        <v>299.01589999999999</v>
      </c>
      <c r="E874" s="34">
        <v>256.86716000000001</v>
      </c>
      <c r="F874" s="34">
        <v>0</v>
      </c>
      <c r="G874" s="5">
        <f t="shared" si="13"/>
        <v>0.83098166666666684</v>
      </c>
    </row>
    <row r="875" spans="1:7" x14ac:dyDescent="0.3">
      <c r="A875" s="33">
        <v>46003.55091435185</v>
      </c>
      <c r="B875" s="34">
        <v>8740</v>
      </c>
      <c r="C875" s="34">
        <v>0.86</v>
      </c>
      <c r="D875" s="34">
        <v>298.79090000000002</v>
      </c>
      <c r="E875" s="34">
        <v>256.86716000000001</v>
      </c>
      <c r="F875" s="34">
        <v>0</v>
      </c>
      <c r="G875" s="5">
        <f t="shared" si="13"/>
        <v>0.8302872222222224</v>
      </c>
    </row>
    <row r="876" spans="1:7" x14ac:dyDescent="0.3">
      <c r="A876" s="33">
        <v>46003.551030092596</v>
      </c>
      <c r="B876" s="34">
        <v>8750</v>
      </c>
      <c r="C876" s="34">
        <v>0.85870000000000002</v>
      </c>
      <c r="D876" s="34">
        <v>298.54090000000002</v>
      </c>
      <c r="E876" s="34">
        <v>256.24218999999999</v>
      </c>
      <c r="F876" s="34">
        <v>0</v>
      </c>
      <c r="G876" s="5">
        <f t="shared" si="13"/>
        <v>0.82962750000000007</v>
      </c>
    </row>
    <row r="877" spans="1:7" x14ac:dyDescent="0.3">
      <c r="A877" s="33">
        <v>46003.551145833335</v>
      </c>
      <c r="B877" s="34">
        <v>8760</v>
      </c>
      <c r="C877" s="34">
        <v>0.85870000000000002</v>
      </c>
      <c r="D877" s="34">
        <v>298.29090000000002</v>
      </c>
      <c r="E877" s="34">
        <v>256.24218999999999</v>
      </c>
      <c r="F877" s="34">
        <v>0</v>
      </c>
      <c r="G877" s="5">
        <f t="shared" si="13"/>
        <v>0.82893305555555563</v>
      </c>
    </row>
    <row r="878" spans="1:7" x14ac:dyDescent="0.3">
      <c r="A878" s="33">
        <v>46003.551261574074</v>
      </c>
      <c r="B878" s="34">
        <v>8770</v>
      </c>
      <c r="C878" s="34">
        <v>0.85870000000000002</v>
      </c>
      <c r="D878" s="34">
        <v>298.0659</v>
      </c>
      <c r="E878" s="34">
        <v>256.24218999999999</v>
      </c>
      <c r="F878" s="34">
        <v>0</v>
      </c>
      <c r="G878" s="5">
        <f t="shared" si="13"/>
        <v>0.82827333333333342</v>
      </c>
    </row>
    <row r="879" spans="1:7" x14ac:dyDescent="0.3">
      <c r="A879" s="33">
        <v>46003.551377314812</v>
      </c>
      <c r="B879" s="34">
        <v>8780</v>
      </c>
      <c r="C879" s="34">
        <v>0.85870000000000002</v>
      </c>
      <c r="D879" s="34">
        <v>297.84089999999998</v>
      </c>
      <c r="E879" s="34">
        <v>255.6172</v>
      </c>
      <c r="F879" s="34">
        <v>0</v>
      </c>
      <c r="G879" s="5">
        <f t="shared" si="13"/>
        <v>0.82764833333333332</v>
      </c>
    </row>
    <row r="880" spans="1:7" x14ac:dyDescent="0.3">
      <c r="A880" s="33">
        <v>46003.551493055558</v>
      </c>
      <c r="B880" s="34">
        <v>8790</v>
      </c>
      <c r="C880" s="34">
        <v>0.85750000000000004</v>
      </c>
      <c r="D880" s="34">
        <v>297.61590000000001</v>
      </c>
      <c r="E880" s="34">
        <v>254.99222</v>
      </c>
      <c r="F880" s="34">
        <v>0</v>
      </c>
      <c r="G880" s="5">
        <f t="shared" si="13"/>
        <v>0.82702333333333322</v>
      </c>
    </row>
    <row r="881" spans="1:7" x14ac:dyDescent="0.3">
      <c r="A881" s="33">
        <v>46003.551608796297</v>
      </c>
      <c r="B881" s="34">
        <v>8800</v>
      </c>
      <c r="C881" s="34">
        <v>0.85619999999999996</v>
      </c>
      <c r="D881" s="34">
        <v>297.36590000000001</v>
      </c>
      <c r="E881" s="34">
        <v>254.99222</v>
      </c>
      <c r="F881" s="34">
        <v>0</v>
      </c>
      <c r="G881" s="5">
        <f t="shared" si="13"/>
        <v>0.82636361111111112</v>
      </c>
    </row>
    <row r="882" spans="1:7" x14ac:dyDescent="0.3">
      <c r="A882" s="33">
        <v>46003.551724537036</v>
      </c>
      <c r="B882" s="34">
        <v>8810</v>
      </c>
      <c r="C882" s="34">
        <v>0.85619999999999996</v>
      </c>
      <c r="D882" s="34">
        <v>297.16590000000002</v>
      </c>
      <c r="E882" s="34">
        <v>253.74225000000001</v>
      </c>
      <c r="F882" s="34">
        <v>0</v>
      </c>
      <c r="G882" s="5">
        <f t="shared" si="13"/>
        <v>0.82573861111111113</v>
      </c>
    </row>
    <row r="883" spans="1:7" x14ac:dyDescent="0.3">
      <c r="A883" s="33">
        <v>46003.551840277774</v>
      </c>
      <c r="B883" s="34">
        <v>8820</v>
      </c>
      <c r="C883" s="34">
        <v>0.85499999999999998</v>
      </c>
      <c r="D883" s="34">
        <v>296.9409</v>
      </c>
      <c r="E883" s="34">
        <v>253.74225000000001</v>
      </c>
      <c r="F883" s="34">
        <v>0</v>
      </c>
      <c r="G883" s="5">
        <f t="shared" si="13"/>
        <v>0.82514833333333337</v>
      </c>
    </row>
    <row r="884" spans="1:7" x14ac:dyDescent="0.3">
      <c r="A884" s="33">
        <v>46003.55195601852</v>
      </c>
      <c r="B884" s="34">
        <v>8830</v>
      </c>
      <c r="C884" s="34">
        <v>0.85370000000000001</v>
      </c>
      <c r="D884" s="34">
        <v>296.71589999999998</v>
      </c>
      <c r="E884" s="34">
        <v>253.11727999999999</v>
      </c>
      <c r="F884" s="34">
        <v>0</v>
      </c>
      <c r="G884" s="5">
        <f t="shared" si="13"/>
        <v>0.82452333333333339</v>
      </c>
    </row>
    <row r="885" spans="1:7" x14ac:dyDescent="0.3">
      <c r="A885" s="33">
        <v>46003.552071759259</v>
      </c>
      <c r="B885" s="34">
        <v>8840</v>
      </c>
      <c r="C885" s="34">
        <v>0.85370000000000001</v>
      </c>
      <c r="D885" s="34">
        <v>296.51589999999999</v>
      </c>
      <c r="E885" s="34">
        <v>253.11727999999999</v>
      </c>
      <c r="F885" s="34">
        <v>0</v>
      </c>
      <c r="G885" s="5">
        <f t="shared" si="13"/>
        <v>0.82393305555555563</v>
      </c>
    </row>
    <row r="886" spans="1:7" x14ac:dyDescent="0.3">
      <c r="A886" s="33">
        <v>46003.552187499998</v>
      </c>
      <c r="B886" s="34">
        <v>8850</v>
      </c>
      <c r="C886" s="34">
        <v>0.85370000000000001</v>
      </c>
      <c r="D886" s="34">
        <v>296.291</v>
      </c>
      <c r="E886" s="34">
        <v>253.11727999999999</v>
      </c>
      <c r="F886" s="34">
        <v>0</v>
      </c>
      <c r="G886" s="5">
        <f t="shared" si="13"/>
        <v>0.8233429166666667</v>
      </c>
    </row>
    <row r="887" spans="1:7" x14ac:dyDescent="0.3">
      <c r="A887" s="33">
        <v>46003.552303240744</v>
      </c>
      <c r="B887" s="34">
        <v>8860</v>
      </c>
      <c r="C887" s="34">
        <v>1.125</v>
      </c>
      <c r="D887" s="34">
        <v>0</v>
      </c>
      <c r="E887" s="34">
        <v>0</v>
      </c>
      <c r="F887" s="34">
        <v>1</v>
      </c>
      <c r="G887" s="5">
        <f t="shared" si="13"/>
        <v>0.4115152777777778</v>
      </c>
    </row>
    <row r="888" spans="1:7" x14ac:dyDescent="0.3">
      <c r="A888" s="33">
        <v>46003.552418981482</v>
      </c>
      <c r="B888" s="34">
        <v>8870</v>
      </c>
      <c r="C888" s="34">
        <v>1.1387</v>
      </c>
      <c r="D888" s="34">
        <v>0</v>
      </c>
      <c r="E888" s="34">
        <v>0</v>
      </c>
      <c r="F888" s="34">
        <v>1</v>
      </c>
      <c r="G888" s="5">
        <f t="shared" si="13"/>
        <v>0</v>
      </c>
    </row>
    <row r="889" spans="1:7" x14ac:dyDescent="0.3">
      <c r="A889" s="33">
        <v>46003.552534722221</v>
      </c>
      <c r="B889" s="34">
        <v>8880</v>
      </c>
      <c r="C889" s="34">
        <v>1.1475</v>
      </c>
      <c r="D889" s="34">
        <v>0</v>
      </c>
      <c r="E889" s="34">
        <v>0</v>
      </c>
      <c r="F889" s="34">
        <v>1</v>
      </c>
      <c r="G889" s="5">
        <f t="shared" si="13"/>
        <v>0</v>
      </c>
    </row>
    <row r="890" spans="1:7" x14ac:dyDescent="0.3">
      <c r="A890" s="33">
        <v>46003.55265046296</v>
      </c>
      <c r="B890" s="34">
        <v>8890</v>
      </c>
      <c r="C890" s="34">
        <v>1.1536999999999999</v>
      </c>
      <c r="D890" s="34">
        <v>0</v>
      </c>
      <c r="E890" s="34">
        <v>0</v>
      </c>
      <c r="F890" s="34">
        <v>1</v>
      </c>
      <c r="G890" s="5">
        <f t="shared" si="13"/>
        <v>0</v>
      </c>
    </row>
    <row r="891" spans="1:7" x14ac:dyDescent="0.3">
      <c r="A891" s="33">
        <v>46003.552766203706</v>
      </c>
      <c r="B891" s="34">
        <v>8900</v>
      </c>
      <c r="C891" s="34">
        <v>1.1587000000000001</v>
      </c>
      <c r="D891" s="34">
        <v>0</v>
      </c>
      <c r="E891" s="34">
        <v>0</v>
      </c>
      <c r="F891" s="34">
        <v>1</v>
      </c>
      <c r="G891" s="5">
        <f t="shared" si="13"/>
        <v>0</v>
      </c>
    </row>
    <row r="892" spans="1:7" x14ac:dyDescent="0.3">
      <c r="A892" s="33">
        <v>46003.552881944444</v>
      </c>
      <c r="B892" s="34">
        <v>8910</v>
      </c>
      <c r="C892" s="34">
        <v>1.1612</v>
      </c>
      <c r="D892" s="34">
        <v>0</v>
      </c>
      <c r="E892" s="34">
        <v>0</v>
      </c>
      <c r="F892" s="34">
        <v>1</v>
      </c>
      <c r="G892" s="5">
        <f t="shared" si="13"/>
        <v>0</v>
      </c>
    </row>
    <row r="893" spans="1:7" x14ac:dyDescent="0.3">
      <c r="A893" s="33">
        <v>46003.552997685183</v>
      </c>
      <c r="B893" s="34">
        <v>8920</v>
      </c>
      <c r="C893" s="34">
        <v>1.165</v>
      </c>
      <c r="D893" s="34">
        <v>0</v>
      </c>
      <c r="E893" s="34">
        <v>0</v>
      </c>
      <c r="F893" s="34">
        <v>1</v>
      </c>
      <c r="G893" s="5">
        <f t="shared" si="13"/>
        <v>0</v>
      </c>
    </row>
    <row r="894" spans="1:7" x14ac:dyDescent="0.3">
      <c r="A894" s="33">
        <v>46003.553113425929</v>
      </c>
      <c r="B894" s="34">
        <v>8930</v>
      </c>
      <c r="C894" s="34">
        <v>1.17</v>
      </c>
      <c r="D894" s="34">
        <v>0</v>
      </c>
      <c r="E894" s="34">
        <v>0</v>
      </c>
      <c r="F894" s="34">
        <v>1</v>
      </c>
      <c r="G894" s="5">
        <f t="shared" si="13"/>
        <v>0</v>
      </c>
    </row>
    <row r="895" spans="1:7" x14ac:dyDescent="0.3">
      <c r="A895" s="33">
        <v>46003.553229166668</v>
      </c>
      <c r="B895" s="34">
        <v>8940</v>
      </c>
      <c r="C895" s="34">
        <v>1.1725000000000001</v>
      </c>
      <c r="D895" s="34">
        <v>0</v>
      </c>
      <c r="E895" s="34">
        <v>0</v>
      </c>
      <c r="F895" s="34">
        <v>1</v>
      </c>
      <c r="G895" s="5">
        <f t="shared" si="13"/>
        <v>0</v>
      </c>
    </row>
    <row r="896" spans="1:7" x14ac:dyDescent="0.3">
      <c r="A896" s="33">
        <v>46003.553344907406</v>
      </c>
      <c r="B896" s="34">
        <v>8950</v>
      </c>
      <c r="C896" s="34">
        <v>0.88870000000000005</v>
      </c>
      <c r="D896" s="34">
        <v>308.09059999999999</v>
      </c>
      <c r="E896" s="34">
        <v>273.11667</v>
      </c>
      <c r="F896" s="34">
        <v>0</v>
      </c>
      <c r="G896" s="5">
        <f t="shared" si="13"/>
        <v>0.42790361111111114</v>
      </c>
    </row>
    <row r="897" spans="1:7" x14ac:dyDescent="0.3">
      <c r="A897" s="33">
        <v>46003.553460648145</v>
      </c>
      <c r="B897" s="34">
        <v>8960</v>
      </c>
      <c r="C897" s="34">
        <v>0.88</v>
      </c>
      <c r="D897" s="34">
        <v>304.7407</v>
      </c>
      <c r="E897" s="34">
        <v>268.11682000000002</v>
      </c>
      <c r="F897" s="34">
        <v>0</v>
      </c>
      <c r="G897" s="5">
        <f t="shared" si="13"/>
        <v>0.85115458333333349</v>
      </c>
    </row>
    <row r="898" spans="1:7" x14ac:dyDescent="0.3">
      <c r="A898" s="33">
        <v>46003.553576388891</v>
      </c>
      <c r="B898" s="34">
        <v>8970</v>
      </c>
      <c r="C898" s="34">
        <v>0.87250000000000005</v>
      </c>
      <c r="D898" s="34">
        <v>302.79070000000002</v>
      </c>
      <c r="E898" s="34">
        <v>264.36694</v>
      </c>
      <c r="F898" s="34">
        <v>0</v>
      </c>
      <c r="G898" s="5">
        <f t="shared" si="13"/>
        <v>0.84379361111111129</v>
      </c>
    </row>
    <row r="899" spans="1:7" x14ac:dyDescent="0.3">
      <c r="A899" s="33">
        <v>46003.55369212963</v>
      </c>
      <c r="B899" s="34">
        <v>8980</v>
      </c>
      <c r="C899" s="34">
        <v>0.86870000000000003</v>
      </c>
      <c r="D899" s="34">
        <v>301.41579999999999</v>
      </c>
      <c r="E899" s="34">
        <v>261.86700000000002</v>
      </c>
      <c r="F899" s="34">
        <v>0</v>
      </c>
      <c r="G899" s="5">
        <f t="shared" si="13"/>
        <v>0.83917569444444451</v>
      </c>
    </row>
    <row r="900" spans="1:7" x14ac:dyDescent="0.3">
      <c r="A900" s="33">
        <v>46003.553807870368</v>
      </c>
      <c r="B900" s="34">
        <v>8990</v>
      </c>
      <c r="C900" s="34">
        <v>0.86499999999999999</v>
      </c>
      <c r="D900" s="34">
        <v>300.36579999999998</v>
      </c>
      <c r="E900" s="34">
        <v>259.99207000000001</v>
      </c>
      <c r="F900" s="34">
        <v>0</v>
      </c>
      <c r="G900" s="5">
        <f t="shared" si="13"/>
        <v>0.83580777777777782</v>
      </c>
    </row>
    <row r="901" spans="1:7" x14ac:dyDescent="0.3">
      <c r="A901" s="33">
        <v>46003.553923611114</v>
      </c>
      <c r="B901" s="34">
        <v>9000</v>
      </c>
      <c r="C901" s="34">
        <v>0.86119999999999997</v>
      </c>
      <c r="D901" s="34">
        <v>299.49079999999998</v>
      </c>
      <c r="E901" s="34">
        <v>258.11712999999997</v>
      </c>
      <c r="F901" s="34">
        <v>0</v>
      </c>
      <c r="G901" s="5">
        <f t="shared" si="13"/>
        <v>0.83313416666666662</v>
      </c>
    </row>
    <row r="902" spans="1:7" x14ac:dyDescent="0.3">
      <c r="A902" s="33">
        <v>46003.554039351853</v>
      </c>
      <c r="B902" s="34">
        <v>9010</v>
      </c>
      <c r="C902" s="34">
        <v>0.86</v>
      </c>
      <c r="D902" s="34">
        <v>298.79090000000002</v>
      </c>
      <c r="E902" s="34">
        <v>256.86716000000001</v>
      </c>
      <c r="F902" s="34">
        <v>0</v>
      </c>
      <c r="G902" s="5">
        <f t="shared" si="13"/>
        <v>0.83094680555555556</v>
      </c>
    </row>
    <row r="903" spans="1:7" x14ac:dyDescent="0.3">
      <c r="A903" s="33">
        <v>46003.554155092592</v>
      </c>
      <c r="B903" s="34">
        <v>9020</v>
      </c>
      <c r="C903" s="34">
        <v>0.85870000000000002</v>
      </c>
      <c r="D903" s="34">
        <v>298.1909</v>
      </c>
      <c r="E903" s="34">
        <v>256.24218999999999</v>
      </c>
      <c r="F903" s="34">
        <v>0</v>
      </c>
      <c r="G903" s="5">
        <f t="shared" ref="G903:G966" si="14">($B$2/3600)*((D902+D903)/2)</f>
        <v>0.829141388888889</v>
      </c>
    </row>
    <row r="904" spans="1:7" x14ac:dyDescent="0.3">
      <c r="A904" s="33">
        <v>46003.554270833331</v>
      </c>
      <c r="B904" s="34">
        <v>9030</v>
      </c>
      <c r="C904" s="34">
        <v>0.85619999999999996</v>
      </c>
      <c r="D904" s="34">
        <v>297.66590000000002</v>
      </c>
      <c r="E904" s="34">
        <v>254.99222</v>
      </c>
      <c r="F904" s="34">
        <v>0</v>
      </c>
      <c r="G904" s="5">
        <f t="shared" si="14"/>
        <v>0.82757888888888897</v>
      </c>
    </row>
    <row r="905" spans="1:7" x14ac:dyDescent="0.3">
      <c r="A905" s="33">
        <v>46003.554386574076</v>
      </c>
      <c r="B905" s="34">
        <v>9040</v>
      </c>
      <c r="C905" s="34">
        <v>0.85499999999999998</v>
      </c>
      <c r="D905" s="34">
        <v>297.1909</v>
      </c>
      <c r="E905" s="34">
        <v>253.74225000000001</v>
      </c>
      <c r="F905" s="34">
        <v>0</v>
      </c>
      <c r="G905" s="5">
        <f t="shared" si="14"/>
        <v>0.82619000000000009</v>
      </c>
    </row>
    <row r="906" spans="1:7" x14ac:dyDescent="0.3">
      <c r="A906" s="33">
        <v>46003.554502314815</v>
      </c>
      <c r="B906" s="34">
        <v>9050</v>
      </c>
      <c r="C906" s="34">
        <v>0.85370000000000001</v>
      </c>
      <c r="D906" s="34">
        <v>296.76589999999999</v>
      </c>
      <c r="E906" s="34">
        <v>253.11727999999999</v>
      </c>
      <c r="F906" s="34">
        <v>0</v>
      </c>
      <c r="G906" s="5">
        <f t="shared" si="14"/>
        <v>0.8249399999999999</v>
      </c>
    </row>
    <row r="907" spans="1:7" x14ac:dyDescent="0.3">
      <c r="A907" s="33">
        <v>46003.554618055554</v>
      </c>
      <c r="B907" s="34">
        <v>9060</v>
      </c>
      <c r="C907" s="34">
        <v>0.85370000000000001</v>
      </c>
      <c r="D907" s="34">
        <v>296.39089999999999</v>
      </c>
      <c r="E907" s="34">
        <v>253.11727999999999</v>
      </c>
      <c r="F907" s="34">
        <v>0</v>
      </c>
      <c r="G907" s="5">
        <f t="shared" si="14"/>
        <v>0.82382888888888883</v>
      </c>
    </row>
    <row r="908" spans="1:7" x14ac:dyDescent="0.3">
      <c r="A908" s="33">
        <v>46003.5547337963</v>
      </c>
      <c r="B908" s="34">
        <v>9070</v>
      </c>
      <c r="C908" s="34">
        <v>0.85119999999999996</v>
      </c>
      <c r="D908" s="34">
        <v>296.01600000000002</v>
      </c>
      <c r="E908" s="34">
        <v>251.86731</v>
      </c>
      <c r="F908" s="34">
        <v>0</v>
      </c>
      <c r="G908" s="5">
        <f t="shared" si="14"/>
        <v>0.82278736111111106</v>
      </c>
    </row>
    <row r="909" spans="1:7" x14ac:dyDescent="0.3">
      <c r="A909" s="33">
        <v>46003.554849537039</v>
      </c>
      <c r="B909" s="34">
        <v>9080</v>
      </c>
      <c r="C909" s="34">
        <v>0.85119999999999996</v>
      </c>
      <c r="D909" s="34">
        <v>295.666</v>
      </c>
      <c r="E909" s="34">
        <v>251.86731</v>
      </c>
      <c r="F909" s="34">
        <v>0</v>
      </c>
      <c r="G909" s="5">
        <f t="shared" si="14"/>
        <v>0.82178055555555563</v>
      </c>
    </row>
    <row r="910" spans="1:7" x14ac:dyDescent="0.3">
      <c r="A910" s="33">
        <v>46003.554965277777</v>
      </c>
      <c r="B910" s="34">
        <v>9090</v>
      </c>
      <c r="C910" s="34">
        <v>0.85</v>
      </c>
      <c r="D910" s="34">
        <v>295.34100000000001</v>
      </c>
      <c r="E910" s="34">
        <v>250.61735999999999</v>
      </c>
      <c r="F910" s="34">
        <v>0</v>
      </c>
      <c r="G910" s="5">
        <f t="shared" si="14"/>
        <v>0.8208430555555557</v>
      </c>
    </row>
    <row r="911" spans="1:7" x14ac:dyDescent="0.3">
      <c r="A911" s="33">
        <v>46003.555081018516</v>
      </c>
      <c r="B911" s="34">
        <v>9100</v>
      </c>
      <c r="C911" s="34">
        <v>0.84870000000000001</v>
      </c>
      <c r="D911" s="34">
        <v>295.01600000000002</v>
      </c>
      <c r="E911" s="34">
        <v>249.99236999999999</v>
      </c>
      <c r="F911" s="34">
        <v>0</v>
      </c>
      <c r="G911" s="5">
        <f t="shared" si="14"/>
        <v>0.81994027777777778</v>
      </c>
    </row>
    <row r="912" spans="1:7" x14ac:dyDescent="0.3">
      <c r="A912" s="33">
        <v>46003.555196759262</v>
      </c>
      <c r="B912" s="34">
        <v>9110</v>
      </c>
      <c r="C912" s="34">
        <v>0.84870000000000001</v>
      </c>
      <c r="D912" s="34">
        <v>294.74099999999999</v>
      </c>
      <c r="E912" s="34">
        <v>249.99236999999999</v>
      </c>
      <c r="F912" s="34">
        <v>0</v>
      </c>
      <c r="G912" s="5">
        <f t="shared" si="14"/>
        <v>0.81910694444444454</v>
      </c>
    </row>
    <row r="913" spans="1:7" x14ac:dyDescent="0.3">
      <c r="A913" s="33">
        <v>46003.555312500001</v>
      </c>
      <c r="B913" s="34">
        <v>9120</v>
      </c>
      <c r="C913" s="34">
        <v>0.84750000000000003</v>
      </c>
      <c r="D913" s="34">
        <v>294.46600000000001</v>
      </c>
      <c r="E913" s="34">
        <v>249.99236999999999</v>
      </c>
      <c r="F913" s="34">
        <v>0</v>
      </c>
      <c r="G913" s="5">
        <f t="shared" si="14"/>
        <v>0.81834305555555553</v>
      </c>
    </row>
    <row r="914" spans="1:7" x14ac:dyDescent="0.3">
      <c r="A914" s="33">
        <v>46003.555428240739</v>
      </c>
      <c r="B914" s="34">
        <v>9130</v>
      </c>
      <c r="C914" s="34">
        <v>0.84619999999999995</v>
      </c>
      <c r="D914" s="34">
        <v>294.19099999999997</v>
      </c>
      <c r="E914" s="34">
        <v>248.7424</v>
      </c>
      <c r="F914" s="34">
        <v>0</v>
      </c>
      <c r="G914" s="5">
        <f t="shared" si="14"/>
        <v>0.81757916666666663</v>
      </c>
    </row>
    <row r="915" spans="1:7" x14ac:dyDescent="0.3">
      <c r="A915" s="33">
        <v>46003.555543981478</v>
      </c>
      <c r="B915" s="34">
        <v>9140</v>
      </c>
      <c r="C915" s="34">
        <v>0.84619999999999995</v>
      </c>
      <c r="D915" s="34">
        <v>293.96600000000001</v>
      </c>
      <c r="E915" s="34">
        <v>248.7424</v>
      </c>
      <c r="F915" s="34">
        <v>0</v>
      </c>
      <c r="G915" s="5">
        <f t="shared" si="14"/>
        <v>0.81688472222222219</v>
      </c>
    </row>
    <row r="916" spans="1:7" x14ac:dyDescent="0.3">
      <c r="A916" s="33">
        <v>46003.555659722224</v>
      </c>
      <c r="B916" s="34">
        <v>9150</v>
      </c>
      <c r="C916" s="34">
        <v>0.84379999999999999</v>
      </c>
      <c r="D916" s="34">
        <v>293.69099999999997</v>
      </c>
      <c r="E916" s="34">
        <v>247.49244999999999</v>
      </c>
      <c r="F916" s="34">
        <v>0</v>
      </c>
      <c r="G916" s="5">
        <f t="shared" si="14"/>
        <v>0.81619027777777775</v>
      </c>
    </row>
    <row r="917" spans="1:7" x14ac:dyDescent="0.3">
      <c r="A917" s="33">
        <v>46003.555775462963</v>
      </c>
      <c r="B917" s="34">
        <v>9160</v>
      </c>
      <c r="C917" s="34">
        <v>0.84379999999999999</v>
      </c>
      <c r="D917" s="34">
        <v>293.44099999999997</v>
      </c>
      <c r="E917" s="34">
        <v>247.49244999999999</v>
      </c>
      <c r="F917" s="34">
        <v>0</v>
      </c>
      <c r="G917" s="5">
        <f t="shared" si="14"/>
        <v>0.81546111111111108</v>
      </c>
    </row>
    <row r="918" spans="1:7" x14ac:dyDescent="0.3">
      <c r="A918" s="33">
        <v>46003.555891203701</v>
      </c>
      <c r="B918" s="34">
        <v>9170</v>
      </c>
      <c r="C918" s="34">
        <v>0.84379999999999999</v>
      </c>
      <c r="D918" s="34">
        <v>293.19099999999997</v>
      </c>
      <c r="E918" s="34">
        <v>247.49244999999999</v>
      </c>
      <c r="F918" s="34">
        <v>0</v>
      </c>
      <c r="G918" s="5">
        <f t="shared" si="14"/>
        <v>0.81476666666666664</v>
      </c>
    </row>
    <row r="919" spans="1:7" x14ac:dyDescent="0.3">
      <c r="A919" s="33">
        <v>46003.556006944447</v>
      </c>
      <c r="B919" s="34">
        <v>9180</v>
      </c>
      <c r="C919" s="34">
        <v>0.84250000000000003</v>
      </c>
      <c r="D919" s="34">
        <v>292.94099999999997</v>
      </c>
      <c r="E919" s="34">
        <v>246.86745999999999</v>
      </c>
      <c r="F919" s="34">
        <v>0</v>
      </c>
      <c r="G919" s="5">
        <f t="shared" si="14"/>
        <v>0.8140722222222222</v>
      </c>
    </row>
    <row r="920" spans="1:7" x14ac:dyDescent="0.3">
      <c r="A920" s="33">
        <v>46003.556122685186</v>
      </c>
      <c r="B920" s="34">
        <v>9190</v>
      </c>
      <c r="C920" s="34">
        <v>0.84130000000000005</v>
      </c>
      <c r="D920" s="34">
        <v>292.69110000000001</v>
      </c>
      <c r="E920" s="34">
        <v>245.61751000000001</v>
      </c>
      <c r="F920" s="34">
        <v>0</v>
      </c>
      <c r="G920" s="5">
        <f t="shared" si="14"/>
        <v>0.8133779166666667</v>
      </c>
    </row>
    <row r="921" spans="1:7" x14ac:dyDescent="0.3">
      <c r="A921" s="33">
        <v>46003.556238425925</v>
      </c>
      <c r="B921" s="34">
        <v>9200</v>
      </c>
      <c r="C921" s="34">
        <v>0.84130000000000005</v>
      </c>
      <c r="D921" s="34">
        <v>292.49110000000002</v>
      </c>
      <c r="E921" s="34">
        <v>245.61751000000001</v>
      </c>
      <c r="F921" s="34">
        <v>0</v>
      </c>
      <c r="G921" s="5">
        <f t="shared" si="14"/>
        <v>0.81275305555555555</v>
      </c>
    </row>
    <row r="922" spans="1:7" x14ac:dyDescent="0.3">
      <c r="A922" s="33">
        <v>46003.556354166663</v>
      </c>
      <c r="B922" s="34">
        <v>9210</v>
      </c>
      <c r="C922" s="34">
        <v>0.84</v>
      </c>
      <c r="D922" s="34">
        <v>292.26609999999999</v>
      </c>
      <c r="E922" s="34">
        <v>245.61751000000001</v>
      </c>
      <c r="F922" s="34">
        <v>0</v>
      </c>
      <c r="G922" s="5">
        <f t="shared" si="14"/>
        <v>0.81216277777777779</v>
      </c>
    </row>
    <row r="923" spans="1:7" x14ac:dyDescent="0.3">
      <c r="A923" s="33">
        <v>46003.556469907409</v>
      </c>
      <c r="B923" s="34">
        <v>9220</v>
      </c>
      <c r="C923" s="34">
        <v>0.83879999999999999</v>
      </c>
      <c r="D923" s="34">
        <v>292.04109999999997</v>
      </c>
      <c r="E923" s="34">
        <v>244.99252000000001</v>
      </c>
      <c r="F923" s="34">
        <v>0</v>
      </c>
      <c r="G923" s="5">
        <f t="shared" si="14"/>
        <v>0.8115377777777778</v>
      </c>
    </row>
    <row r="924" spans="1:7" x14ac:dyDescent="0.3">
      <c r="A924" s="33">
        <v>46003.556585648148</v>
      </c>
      <c r="B924" s="34">
        <v>9230</v>
      </c>
      <c r="C924" s="34">
        <v>0.83879999999999999</v>
      </c>
      <c r="D924" s="34">
        <v>291.81610000000001</v>
      </c>
      <c r="E924" s="34">
        <v>244.99252000000001</v>
      </c>
      <c r="F924" s="34">
        <v>0</v>
      </c>
      <c r="G924" s="5">
        <f t="shared" si="14"/>
        <v>0.8109127777777777</v>
      </c>
    </row>
    <row r="925" spans="1:7" x14ac:dyDescent="0.3">
      <c r="A925" s="33">
        <v>46003.556701388887</v>
      </c>
      <c r="B925" s="34">
        <v>9240</v>
      </c>
      <c r="C925" s="34">
        <v>0.83750000000000002</v>
      </c>
      <c r="D925" s="34">
        <v>291.59109999999998</v>
      </c>
      <c r="E925" s="34">
        <v>244.36753999999999</v>
      </c>
      <c r="F925" s="34">
        <v>0</v>
      </c>
      <c r="G925" s="5">
        <f t="shared" si="14"/>
        <v>0.81028777777777783</v>
      </c>
    </row>
    <row r="926" spans="1:7" x14ac:dyDescent="0.3">
      <c r="A926" s="33">
        <v>46003.556817129633</v>
      </c>
      <c r="B926" s="34">
        <v>9250</v>
      </c>
      <c r="C926" s="34">
        <v>1.115</v>
      </c>
      <c r="D926" s="34">
        <v>0</v>
      </c>
      <c r="E926" s="34">
        <v>0</v>
      </c>
      <c r="F926" s="34">
        <v>1</v>
      </c>
      <c r="G926" s="5">
        <f t="shared" si="14"/>
        <v>0.40498763888888889</v>
      </c>
    </row>
    <row r="927" spans="1:7" x14ac:dyDescent="0.3">
      <c r="A927" s="33">
        <v>46003.556932870371</v>
      </c>
      <c r="B927" s="34">
        <v>9260</v>
      </c>
      <c r="C927" s="34">
        <v>1.1299999999999999</v>
      </c>
      <c r="D927" s="34">
        <v>0</v>
      </c>
      <c r="E927" s="34">
        <v>0</v>
      </c>
      <c r="F927" s="34">
        <v>1</v>
      </c>
      <c r="G927" s="5">
        <f t="shared" si="14"/>
        <v>0</v>
      </c>
    </row>
    <row r="928" spans="1:7" x14ac:dyDescent="0.3">
      <c r="A928" s="33">
        <v>46003.55704861111</v>
      </c>
      <c r="B928" s="34">
        <v>9270</v>
      </c>
      <c r="C928" s="34">
        <v>1.1375</v>
      </c>
      <c r="D928" s="34">
        <v>0</v>
      </c>
      <c r="E928" s="34">
        <v>0</v>
      </c>
      <c r="F928" s="34">
        <v>1</v>
      </c>
      <c r="G928" s="5">
        <f t="shared" si="14"/>
        <v>0</v>
      </c>
    </row>
    <row r="929" spans="1:7" x14ac:dyDescent="0.3">
      <c r="A929" s="33">
        <v>46003.557164351849</v>
      </c>
      <c r="B929" s="34">
        <v>9280</v>
      </c>
      <c r="C929" s="34">
        <v>1.1436999999999999</v>
      </c>
      <c r="D929" s="34">
        <v>0</v>
      </c>
      <c r="E929" s="34">
        <v>0</v>
      </c>
      <c r="F929" s="34">
        <v>1</v>
      </c>
      <c r="G929" s="5">
        <f t="shared" si="14"/>
        <v>0</v>
      </c>
    </row>
    <row r="930" spans="1:7" x14ac:dyDescent="0.3">
      <c r="A930" s="33">
        <v>46003.557280092595</v>
      </c>
      <c r="B930" s="34">
        <v>9290</v>
      </c>
      <c r="C930" s="34">
        <v>1.1487000000000001</v>
      </c>
      <c r="D930" s="34">
        <v>0</v>
      </c>
      <c r="E930" s="34">
        <v>0</v>
      </c>
      <c r="F930" s="34">
        <v>1</v>
      </c>
      <c r="G930" s="5">
        <f t="shared" si="14"/>
        <v>0</v>
      </c>
    </row>
    <row r="931" spans="1:7" x14ac:dyDescent="0.3">
      <c r="A931" s="33">
        <v>46003.557395833333</v>
      </c>
      <c r="B931" s="34">
        <v>9300</v>
      </c>
      <c r="C931" s="34">
        <v>1.155</v>
      </c>
      <c r="D931" s="34">
        <v>0</v>
      </c>
      <c r="E931" s="34">
        <v>0</v>
      </c>
      <c r="F931" s="34">
        <v>1</v>
      </c>
      <c r="G931" s="5">
        <f t="shared" si="14"/>
        <v>0</v>
      </c>
    </row>
    <row r="932" spans="1:7" x14ac:dyDescent="0.3">
      <c r="A932" s="33">
        <v>46003.557511574072</v>
      </c>
      <c r="B932" s="34">
        <v>9310</v>
      </c>
      <c r="C932" s="34">
        <v>1.1575</v>
      </c>
      <c r="D932" s="34">
        <v>0</v>
      </c>
      <c r="E932" s="34">
        <v>0</v>
      </c>
      <c r="F932" s="34">
        <v>1</v>
      </c>
      <c r="G932" s="5">
        <f t="shared" si="14"/>
        <v>0</v>
      </c>
    </row>
    <row r="933" spans="1:7" x14ac:dyDescent="0.3">
      <c r="A933" s="33">
        <v>46003.557627314818</v>
      </c>
      <c r="B933" s="34">
        <v>9320</v>
      </c>
      <c r="C933" s="34">
        <v>1.1612</v>
      </c>
      <c r="D933" s="34">
        <v>2.5000000000000001E-2</v>
      </c>
      <c r="E933" s="34">
        <v>0</v>
      </c>
      <c r="F933" s="34">
        <v>1</v>
      </c>
      <c r="G933" s="5">
        <f t="shared" si="14"/>
        <v>3.4722222222222222E-5</v>
      </c>
    </row>
    <row r="934" spans="1:7" x14ac:dyDescent="0.3">
      <c r="A934" s="33">
        <v>46003.557743055557</v>
      </c>
      <c r="B934" s="34">
        <v>9330</v>
      </c>
      <c r="C934" s="34">
        <v>1.165</v>
      </c>
      <c r="D934" s="34">
        <v>0</v>
      </c>
      <c r="E934" s="34">
        <v>0</v>
      </c>
      <c r="F934" s="34">
        <v>1</v>
      </c>
      <c r="G934" s="5">
        <f t="shared" si="14"/>
        <v>3.4722222222222222E-5</v>
      </c>
    </row>
    <row r="935" spans="1:7" x14ac:dyDescent="0.3">
      <c r="A935" s="33">
        <v>46003.557858796295</v>
      </c>
      <c r="B935" s="34">
        <v>9340</v>
      </c>
      <c r="C935" s="34">
        <v>0.87870000000000004</v>
      </c>
      <c r="D935" s="34">
        <v>303.79070000000002</v>
      </c>
      <c r="E935" s="34">
        <v>267.49182000000002</v>
      </c>
      <c r="F935" s="34">
        <v>0</v>
      </c>
      <c r="G935" s="5">
        <f t="shared" si="14"/>
        <v>0.42193152777777782</v>
      </c>
    </row>
    <row r="936" spans="1:7" x14ac:dyDescent="0.3">
      <c r="A936" s="33">
        <v>46003.557974537034</v>
      </c>
      <c r="B936" s="34">
        <v>9350</v>
      </c>
      <c r="C936" s="34">
        <v>0.86619999999999997</v>
      </c>
      <c r="D936" s="34">
        <v>300.2158</v>
      </c>
      <c r="E936" s="34">
        <v>259.99207000000001</v>
      </c>
      <c r="F936" s="34">
        <v>0</v>
      </c>
      <c r="G936" s="5">
        <f t="shared" si="14"/>
        <v>0.83889791666666669</v>
      </c>
    </row>
    <row r="937" spans="1:7" x14ac:dyDescent="0.3">
      <c r="A937" s="33">
        <v>46003.55809027778</v>
      </c>
      <c r="B937" s="34">
        <v>9360</v>
      </c>
      <c r="C937" s="34">
        <v>0.86</v>
      </c>
      <c r="D937" s="34">
        <v>298.26589999999999</v>
      </c>
      <c r="E937" s="34">
        <v>256.24218999999999</v>
      </c>
      <c r="F937" s="34">
        <v>0</v>
      </c>
      <c r="G937" s="5">
        <f t="shared" si="14"/>
        <v>0.83122458333333338</v>
      </c>
    </row>
    <row r="938" spans="1:7" x14ac:dyDescent="0.3">
      <c r="A938" s="33">
        <v>46003.558206018519</v>
      </c>
      <c r="B938" s="34">
        <v>9370</v>
      </c>
      <c r="C938" s="34">
        <v>0.85619999999999996</v>
      </c>
      <c r="D938" s="34">
        <v>296.86590000000001</v>
      </c>
      <c r="E938" s="34">
        <v>253.74225000000001</v>
      </c>
      <c r="F938" s="34">
        <v>0</v>
      </c>
      <c r="G938" s="5">
        <f t="shared" si="14"/>
        <v>0.82657194444444448</v>
      </c>
    </row>
    <row r="939" spans="1:7" x14ac:dyDescent="0.3">
      <c r="A939" s="33">
        <v>46003.558321759258</v>
      </c>
      <c r="B939" s="34">
        <v>9380</v>
      </c>
      <c r="C939" s="34">
        <v>0.85370000000000001</v>
      </c>
      <c r="D939" s="34">
        <v>295.76600000000002</v>
      </c>
      <c r="E939" s="34">
        <v>252.49229</v>
      </c>
      <c r="F939" s="34">
        <v>0</v>
      </c>
      <c r="G939" s="5">
        <f t="shared" si="14"/>
        <v>0.82309986111111122</v>
      </c>
    </row>
    <row r="940" spans="1:7" x14ac:dyDescent="0.3">
      <c r="A940" s="33">
        <v>46003.558437500003</v>
      </c>
      <c r="B940" s="34">
        <v>9390</v>
      </c>
      <c r="C940" s="34">
        <v>0.85</v>
      </c>
      <c r="D940" s="34">
        <v>294.89100000000002</v>
      </c>
      <c r="E940" s="34">
        <v>250.61735999999999</v>
      </c>
      <c r="F940" s="34">
        <v>0</v>
      </c>
      <c r="G940" s="5">
        <f t="shared" si="14"/>
        <v>0.82035694444444451</v>
      </c>
    </row>
    <row r="941" spans="1:7" x14ac:dyDescent="0.3">
      <c r="A941" s="33">
        <v>46003.558553240742</v>
      </c>
      <c r="B941" s="34">
        <v>9400</v>
      </c>
      <c r="C941" s="34">
        <v>0.84870000000000001</v>
      </c>
      <c r="D941" s="34">
        <v>294.166</v>
      </c>
      <c r="E941" s="34">
        <v>249.99236999999999</v>
      </c>
      <c r="F941" s="34">
        <v>0</v>
      </c>
      <c r="G941" s="5">
        <f t="shared" si="14"/>
        <v>0.81813472222222228</v>
      </c>
    </row>
    <row r="942" spans="1:7" x14ac:dyDescent="0.3">
      <c r="A942" s="33">
        <v>46003.558668981481</v>
      </c>
      <c r="B942" s="34">
        <v>9410</v>
      </c>
      <c r="C942" s="34">
        <v>0.84619999999999995</v>
      </c>
      <c r="D942" s="34">
        <v>293.541</v>
      </c>
      <c r="E942" s="34">
        <v>248.7424</v>
      </c>
      <c r="F942" s="34">
        <v>0</v>
      </c>
      <c r="G942" s="5">
        <f t="shared" si="14"/>
        <v>0.81625972222222221</v>
      </c>
    </row>
    <row r="943" spans="1:7" x14ac:dyDescent="0.3">
      <c r="A943" s="33">
        <v>46003.55878472222</v>
      </c>
      <c r="B943" s="34">
        <v>9420</v>
      </c>
      <c r="C943" s="34">
        <v>0.84379999999999999</v>
      </c>
      <c r="D943" s="34">
        <v>292.96600000000001</v>
      </c>
      <c r="E943" s="34">
        <v>246.86745999999999</v>
      </c>
      <c r="F943" s="34">
        <v>0</v>
      </c>
      <c r="G943" s="5">
        <f t="shared" si="14"/>
        <v>0.81459305555555572</v>
      </c>
    </row>
    <row r="944" spans="1:7" x14ac:dyDescent="0.3">
      <c r="A944" s="33">
        <v>46003.558900462966</v>
      </c>
      <c r="B944" s="34">
        <v>9430</v>
      </c>
      <c r="C944" s="34">
        <v>0.84250000000000003</v>
      </c>
      <c r="D944" s="34">
        <v>292.49110000000002</v>
      </c>
      <c r="E944" s="34">
        <v>246.86745999999999</v>
      </c>
      <c r="F944" s="34">
        <v>0</v>
      </c>
      <c r="G944" s="5">
        <f t="shared" si="14"/>
        <v>0.81313486111111122</v>
      </c>
    </row>
    <row r="945" spans="1:7" x14ac:dyDescent="0.3">
      <c r="A945" s="33">
        <v>46003.559016203704</v>
      </c>
      <c r="B945" s="34">
        <v>9440</v>
      </c>
      <c r="C945" s="34">
        <v>0.84130000000000005</v>
      </c>
      <c r="D945" s="34">
        <v>292.04109999999997</v>
      </c>
      <c r="E945" s="34">
        <v>245.61751000000001</v>
      </c>
      <c r="F945" s="34">
        <v>0</v>
      </c>
      <c r="G945" s="5">
        <f t="shared" si="14"/>
        <v>0.81185027777777774</v>
      </c>
    </row>
    <row r="946" spans="1:7" x14ac:dyDescent="0.3">
      <c r="A946" s="33">
        <v>46003.559131944443</v>
      </c>
      <c r="B946" s="34">
        <v>9450</v>
      </c>
      <c r="C946" s="34">
        <v>0.84</v>
      </c>
      <c r="D946" s="34">
        <v>291.61610000000002</v>
      </c>
      <c r="E946" s="34">
        <v>244.99252000000001</v>
      </c>
      <c r="F946" s="34">
        <v>0</v>
      </c>
      <c r="G946" s="5">
        <f t="shared" si="14"/>
        <v>0.81063499999999999</v>
      </c>
    </row>
    <row r="947" spans="1:7" x14ac:dyDescent="0.3">
      <c r="A947" s="33">
        <v>46003.559247685182</v>
      </c>
      <c r="B947" s="34">
        <v>9460</v>
      </c>
      <c r="C947" s="34">
        <v>0.84</v>
      </c>
      <c r="D947" s="34">
        <v>291.24110000000002</v>
      </c>
      <c r="E947" s="34">
        <v>244.99252000000001</v>
      </c>
      <c r="F947" s="34">
        <v>0</v>
      </c>
      <c r="G947" s="5">
        <f t="shared" si="14"/>
        <v>0.80952388888888893</v>
      </c>
    </row>
    <row r="948" spans="1:7" x14ac:dyDescent="0.3">
      <c r="A948" s="33">
        <v>46003.559363425928</v>
      </c>
      <c r="B948" s="34">
        <v>9470</v>
      </c>
      <c r="C948" s="34">
        <v>0.83879999999999999</v>
      </c>
      <c r="D948" s="34">
        <v>290.86610000000002</v>
      </c>
      <c r="E948" s="34">
        <v>244.36753999999999</v>
      </c>
      <c r="F948" s="34">
        <v>0</v>
      </c>
      <c r="G948" s="5">
        <f t="shared" si="14"/>
        <v>0.80848222222222232</v>
      </c>
    </row>
    <row r="949" spans="1:7" x14ac:dyDescent="0.3">
      <c r="A949" s="33">
        <v>46003.559479166666</v>
      </c>
      <c r="B949" s="34">
        <v>9480</v>
      </c>
      <c r="C949" s="34">
        <v>0.83879999999999999</v>
      </c>
      <c r="D949" s="34">
        <v>290.51609999999999</v>
      </c>
      <c r="E949" s="34">
        <v>243.74254999999999</v>
      </c>
      <c r="F949" s="34">
        <v>0</v>
      </c>
      <c r="G949" s="5">
        <f t="shared" si="14"/>
        <v>0.80747527777777783</v>
      </c>
    </row>
    <row r="950" spans="1:7" x14ac:dyDescent="0.3">
      <c r="A950" s="33">
        <v>46003.559594907405</v>
      </c>
      <c r="B950" s="34">
        <v>9490</v>
      </c>
      <c r="C950" s="34">
        <v>0.83750000000000002</v>
      </c>
      <c r="D950" s="34">
        <v>290.21609999999998</v>
      </c>
      <c r="E950" s="34">
        <v>242.49260000000001</v>
      </c>
      <c r="F950" s="34">
        <v>0</v>
      </c>
      <c r="G950" s="5">
        <f t="shared" si="14"/>
        <v>0.80657249999999991</v>
      </c>
    </row>
    <row r="951" spans="1:7" x14ac:dyDescent="0.3">
      <c r="A951" s="33">
        <v>46003.559710648151</v>
      </c>
      <c r="B951" s="34">
        <v>9500</v>
      </c>
      <c r="C951" s="34">
        <v>0.83630000000000004</v>
      </c>
      <c r="D951" s="34">
        <v>289.89109999999999</v>
      </c>
      <c r="E951" s="34">
        <v>242.49260000000001</v>
      </c>
      <c r="F951" s="34">
        <v>0</v>
      </c>
      <c r="G951" s="5">
        <f t="shared" si="14"/>
        <v>0.80570444444444433</v>
      </c>
    </row>
    <row r="952" spans="1:7" x14ac:dyDescent="0.3">
      <c r="A952" s="33">
        <v>46003.55982638889</v>
      </c>
      <c r="B952" s="34">
        <v>9510</v>
      </c>
      <c r="C952" s="34">
        <v>0.83499999999999996</v>
      </c>
      <c r="D952" s="34">
        <v>289.61610000000002</v>
      </c>
      <c r="E952" s="34">
        <v>241.86761000000001</v>
      </c>
      <c r="F952" s="34">
        <v>0</v>
      </c>
      <c r="G952" s="5">
        <f t="shared" si="14"/>
        <v>0.8048711111111112</v>
      </c>
    </row>
    <row r="953" spans="1:7" x14ac:dyDescent="0.3">
      <c r="A953" s="33">
        <v>46003.559942129628</v>
      </c>
      <c r="B953" s="34">
        <v>9520</v>
      </c>
      <c r="C953" s="34">
        <v>0.83379999999999999</v>
      </c>
      <c r="D953" s="34">
        <v>289.31619999999998</v>
      </c>
      <c r="E953" s="34">
        <v>241.86761000000001</v>
      </c>
      <c r="F953" s="34">
        <v>0</v>
      </c>
      <c r="G953" s="5">
        <f t="shared" si="14"/>
        <v>0.8040726388888888</v>
      </c>
    </row>
    <row r="954" spans="1:7" x14ac:dyDescent="0.3">
      <c r="A954" s="33">
        <v>46003.560057870367</v>
      </c>
      <c r="B954" s="34">
        <v>9530</v>
      </c>
      <c r="C954" s="34">
        <v>0.83379999999999999</v>
      </c>
      <c r="D954" s="34">
        <v>289.06619999999998</v>
      </c>
      <c r="E954" s="34">
        <v>240.61766</v>
      </c>
      <c r="F954" s="34">
        <v>0</v>
      </c>
      <c r="G954" s="5">
        <f t="shared" si="14"/>
        <v>0.80330888888888885</v>
      </c>
    </row>
    <row r="955" spans="1:7" x14ac:dyDescent="0.3">
      <c r="A955" s="33">
        <v>46003.560173611113</v>
      </c>
      <c r="B955" s="34">
        <v>9540</v>
      </c>
      <c r="C955" s="34">
        <v>0.83250000000000002</v>
      </c>
      <c r="D955" s="34">
        <v>288.7912</v>
      </c>
      <c r="E955" s="34">
        <v>240.61766</v>
      </c>
      <c r="F955" s="34">
        <v>0</v>
      </c>
      <c r="G955" s="5">
        <f t="shared" si="14"/>
        <v>0.80257972222222218</v>
      </c>
    </row>
    <row r="956" spans="1:7" x14ac:dyDescent="0.3">
      <c r="A956" s="33">
        <v>46003.560289351852</v>
      </c>
      <c r="B956" s="34">
        <v>9550</v>
      </c>
      <c r="C956" s="34">
        <v>0.83120000000000005</v>
      </c>
      <c r="D956" s="34">
        <v>288.51620000000003</v>
      </c>
      <c r="E956" s="34">
        <v>239.36769000000001</v>
      </c>
      <c r="F956" s="34">
        <v>0</v>
      </c>
      <c r="G956" s="5">
        <f t="shared" si="14"/>
        <v>0.80181583333333339</v>
      </c>
    </row>
    <row r="957" spans="1:7" x14ac:dyDescent="0.3">
      <c r="A957" s="33">
        <v>46003.56040509259</v>
      </c>
      <c r="B957" s="34">
        <v>9560</v>
      </c>
      <c r="C957" s="34">
        <v>0.83120000000000005</v>
      </c>
      <c r="D957" s="34">
        <v>288.26620000000003</v>
      </c>
      <c r="E957" s="34">
        <v>239.36769000000001</v>
      </c>
      <c r="F957" s="34">
        <v>0</v>
      </c>
      <c r="G957" s="5">
        <f t="shared" si="14"/>
        <v>0.80108666666666672</v>
      </c>
    </row>
    <row r="958" spans="1:7" x14ac:dyDescent="0.3">
      <c r="A958" s="33">
        <v>46003.560520833336</v>
      </c>
      <c r="B958" s="34">
        <v>9570</v>
      </c>
      <c r="C958" s="34">
        <v>0.83</v>
      </c>
      <c r="D958" s="34">
        <v>287.99119999999999</v>
      </c>
      <c r="E958" s="34">
        <v>238.74270999999999</v>
      </c>
      <c r="F958" s="34">
        <v>0</v>
      </c>
      <c r="G958" s="5">
        <f t="shared" si="14"/>
        <v>0.80035749999999994</v>
      </c>
    </row>
    <row r="959" spans="1:7" x14ac:dyDescent="0.3">
      <c r="A959" s="33">
        <v>46003.560636574075</v>
      </c>
      <c r="B959" s="34">
        <v>9580</v>
      </c>
      <c r="C959" s="34">
        <v>0.82869999999999999</v>
      </c>
      <c r="D959" s="34">
        <v>287.71620000000001</v>
      </c>
      <c r="E959" s="34">
        <v>238.74270999999999</v>
      </c>
      <c r="F959" s="34">
        <v>0</v>
      </c>
      <c r="G959" s="5">
        <f t="shared" si="14"/>
        <v>0.79959361111111116</v>
      </c>
    </row>
    <row r="960" spans="1:7" x14ac:dyDescent="0.3">
      <c r="A960" s="33">
        <v>46003.560752314814</v>
      </c>
      <c r="B960" s="34">
        <v>9590</v>
      </c>
      <c r="C960" s="34">
        <v>0.82869999999999999</v>
      </c>
      <c r="D960" s="34">
        <v>287.46620000000001</v>
      </c>
      <c r="E960" s="34">
        <v>238.74270999999999</v>
      </c>
      <c r="F960" s="34">
        <v>0</v>
      </c>
      <c r="G960" s="5">
        <f t="shared" si="14"/>
        <v>0.79886444444444449</v>
      </c>
    </row>
    <row r="961" spans="1:7" x14ac:dyDescent="0.3">
      <c r="A961" s="33">
        <v>46003.560868055552</v>
      </c>
      <c r="B961" s="34">
        <v>9600</v>
      </c>
      <c r="C961" s="34">
        <v>0.82750000000000001</v>
      </c>
      <c r="D961" s="34">
        <v>287.21620000000001</v>
      </c>
      <c r="E961" s="34">
        <v>237.49275</v>
      </c>
      <c r="F961" s="34">
        <v>0</v>
      </c>
      <c r="G961" s="5">
        <f t="shared" si="14"/>
        <v>0.79817000000000005</v>
      </c>
    </row>
    <row r="962" spans="1:7" x14ac:dyDescent="0.3">
      <c r="A962" s="33">
        <v>46003.560983796298</v>
      </c>
      <c r="B962" s="34">
        <v>9610</v>
      </c>
      <c r="C962" s="34">
        <v>0.82750000000000001</v>
      </c>
      <c r="D962" s="34">
        <v>286.96620000000001</v>
      </c>
      <c r="E962" s="34">
        <v>237.49275</v>
      </c>
      <c r="F962" s="34">
        <v>0</v>
      </c>
      <c r="G962" s="5">
        <f t="shared" si="14"/>
        <v>0.7974755555555556</v>
      </c>
    </row>
    <row r="963" spans="1:7" x14ac:dyDescent="0.3">
      <c r="A963" s="33">
        <v>46003.561099537037</v>
      </c>
      <c r="B963" s="34">
        <v>9620</v>
      </c>
      <c r="C963" s="34">
        <v>0.82620000000000005</v>
      </c>
      <c r="D963" s="34">
        <v>286.71620000000001</v>
      </c>
      <c r="E963" s="34">
        <v>236.24279999999999</v>
      </c>
      <c r="F963" s="34">
        <v>0</v>
      </c>
      <c r="G963" s="5">
        <f t="shared" si="14"/>
        <v>0.79678111111111116</v>
      </c>
    </row>
    <row r="964" spans="1:7" x14ac:dyDescent="0.3">
      <c r="A964" s="33">
        <v>46003.561215277776</v>
      </c>
      <c r="B964" s="34">
        <v>9630</v>
      </c>
      <c r="C964" s="34">
        <v>0.82499999999999996</v>
      </c>
      <c r="D964" s="34">
        <v>286.44130000000001</v>
      </c>
      <c r="E964" s="34">
        <v>236.24279999999999</v>
      </c>
      <c r="F964" s="34">
        <v>0</v>
      </c>
      <c r="G964" s="5">
        <f t="shared" si="14"/>
        <v>0.79605208333333344</v>
      </c>
    </row>
    <row r="965" spans="1:7" x14ac:dyDescent="0.3">
      <c r="A965" s="33">
        <v>46003.561331018522</v>
      </c>
      <c r="B965" s="34">
        <v>9640</v>
      </c>
      <c r="C965" s="34">
        <v>1.105</v>
      </c>
      <c r="D965" s="34">
        <v>0</v>
      </c>
      <c r="E965" s="34">
        <v>0</v>
      </c>
      <c r="F965" s="34">
        <v>1</v>
      </c>
      <c r="G965" s="5">
        <f t="shared" si="14"/>
        <v>0.39783513888888894</v>
      </c>
    </row>
    <row r="966" spans="1:7" x14ac:dyDescent="0.3">
      <c r="A966" s="33">
        <v>46003.56144675926</v>
      </c>
      <c r="B966" s="34">
        <v>9650</v>
      </c>
      <c r="C966" s="34">
        <v>1.1200000000000001</v>
      </c>
      <c r="D966" s="34">
        <v>0</v>
      </c>
      <c r="E966" s="34">
        <v>0</v>
      </c>
      <c r="F966" s="34">
        <v>1</v>
      </c>
      <c r="G966" s="5">
        <f t="shared" si="14"/>
        <v>0</v>
      </c>
    </row>
    <row r="967" spans="1:7" x14ac:dyDescent="0.3">
      <c r="A967" s="33">
        <v>46003.561562499999</v>
      </c>
      <c r="B967" s="34">
        <v>9660</v>
      </c>
      <c r="C967" s="34">
        <v>1.1299999999999999</v>
      </c>
      <c r="D967" s="34">
        <v>0</v>
      </c>
      <c r="E967" s="34">
        <v>0</v>
      </c>
      <c r="F967" s="34">
        <v>1</v>
      </c>
      <c r="G967" s="5">
        <f t="shared" ref="G967:G1030" si="15">($B$2/3600)*((D966+D967)/2)</f>
        <v>0</v>
      </c>
    </row>
    <row r="968" spans="1:7" x14ac:dyDescent="0.3">
      <c r="A968" s="33">
        <v>46003.561678240738</v>
      </c>
      <c r="B968" s="34">
        <v>9670</v>
      </c>
      <c r="C968" s="34">
        <v>1.135</v>
      </c>
      <c r="D968" s="34">
        <v>0</v>
      </c>
      <c r="E968" s="34">
        <v>0</v>
      </c>
      <c r="F968" s="34">
        <v>1</v>
      </c>
      <c r="G968" s="5">
        <f t="shared" si="15"/>
        <v>0</v>
      </c>
    </row>
    <row r="969" spans="1:7" x14ac:dyDescent="0.3">
      <c r="A969" s="33">
        <v>46003.561793981484</v>
      </c>
      <c r="B969" s="34">
        <v>9680</v>
      </c>
      <c r="C969" s="34">
        <v>1.1399999999999999</v>
      </c>
      <c r="D969" s="34">
        <v>0</v>
      </c>
      <c r="E969" s="34">
        <v>0</v>
      </c>
      <c r="F969" s="34">
        <v>1</v>
      </c>
      <c r="G969" s="5">
        <f t="shared" si="15"/>
        <v>0</v>
      </c>
    </row>
    <row r="970" spans="1:7" x14ac:dyDescent="0.3">
      <c r="A970" s="33">
        <v>46003.561909722222</v>
      </c>
      <c r="B970" s="34">
        <v>9690</v>
      </c>
      <c r="C970" s="34">
        <v>1.145</v>
      </c>
      <c r="D970" s="34">
        <v>0</v>
      </c>
      <c r="E970" s="34">
        <v>0</v>
      </c>
      <c r="F970" s="34">
        <v>1</v>
      </c>
      <c r="G970" s="5">
        <f t="shared" si="15"/>
        <v>0</v>
      </c>
    </row>
    <row r="971" spans="1:7" x14ac:dyDescent="0.3">
      <c r="A971" s="33">
        <v>46003.562025462961</v>
      </c>
      <c r="B971" s="34">
        <v>9700</v>
      </c>
      <c r="C971" s="34">
        <v>1.1487000000000001</v>
      </c>
      <c r="D971" s="34">
        <v>0</v>
      </c>
      <c r="E971" s="34">
        <v>0</v>
      </c>
      <c r="F971" s="34">
        <v>1</v>
      </c>
      <c r="G971" s="5">
        <f t="shared" si="15"/>
        <v>0</v>
      </c>
    </row>
    <row r="972" spans="1:7" x14ac:dyDescent="0.3">
      <c r="A972" s="33">
        <v>46003.562141203707</v>
      </c>
      <c r="B972" s="34">
        <v>9710</v>
      </c>
      <c r="C972" s="34">
        <v>1.1525000000000001</v>
      </c>
      <c r="D972" s="34">
        <v>0</v>
      </c>
      <c r="E972" s="34">
        <v>0</v>
      </c>
      <c r="F972" s="34">
        <v>1</v>
      </c>
      <c r="G972" s="5">
        <f t="shared" si="15"/>
        <v>0</v>
      </c>
    </row>
    <row r="973" spans="1:7" x14ac:dyDescent="0.3">
      <c r="A973" s="33">
        <v>46003.562256944446</v>
      </c>
      <c r="B973" s="34">
        <v>9720</v>
      </c>
      <c r="C973" s="34">
        <v>1.1563000000000001</v>
      </c>
      <c r="D973" s="34">
        <v>0</v>
      </c>
      <c r="E973" s="34">
        <v>0</v>
      </c>
      <c r="F973" s="34">
        <v>1</v>
      </c>
      <c r="G973" s="5">
        <f t="shared" si="15"/>
        <v>0</v>
      </c>
    </row>
    <row r="974" spans="1:7" x14ac:dyDescent="0.3">
      <c r="A974" s="33">
        <v>46003.562372685185</v>
      </c>
      <c r="B974" s="34">
        <v>9730</v>
      </c>
      <c r="C974" s="34">
        <v>0.86370000000000002</v>
      </c>
      <c r="D974" s="34">
        <v>299.29090000000002</v>
      </c>
      <c r="E974" s="34">
        <v>258.74209999999999</v>
      </c>
      <c r="F974" s="34">
        <v>0</v>
      </c>
      <c r="G974" s="5">
        <f t="shared" si="15"/>
        <v>0.41568180555555562</v>
      </c>
    </row>
    <row r="975" spans="1:7" x14ac:dyDescent="0.3">
      <c r="A975" s="33">
        <v>46003.562488425923</v>
      </c>
      <c r="B975" s="34">
        <v>9740</v>
      </c>
      <c r="C975" s="34">
        <v>0.85250000000000004</v>
      </c>
      <c r="D975" s="34">
        <v>295.46600000000001</v>
      </c>
      <c r="E975" s="34">
        <v>251.86731</v>
      </c>
      <c r="F975" s="34">
        <v>0</v>
      </c>
      <c r="G975" s="5">
        <f t="shared" si="15"/>
        <v>0.82605125000000013</v>
      </c>
    </row>
    <row r="976" spans="1:7" x14ac:dyDescent="0.3">
      <c r="A976" s="33">
        <v>46003.562604166669</v>
      </c>
      <c r="B976" s="34">
        <v>9750</v>
      </c>
      <c r="C976" s="34">
        <v>0.84619999999999995</v>
      </c>
      <c r="D976" s="34">
        <v>293.39100000000002</v>
      </c>
      <c r="E976" s="34">
        <v>247.49244999999999</v>
      </c>
      <c r="F976" s="34">
        <v>0</v>
      </c>
      <c r="G976" s="5">
        <f t="shared" si="15"/>
        <v>0.81785694444444446</v>
      </c>
    </row>
    <row r="977" spans="1:7" x14ac:dyDescent="0.3">
      <c r="A977" s="33">
        <v>46003.562719907408</v>
      </c>
      <c r="B977" s="34">
        <v>9760</v>
      </c>
      <c r="C977" s="34">
        <v>0.84130000000000005</v>
      </c>
      <c r="D977" s="34">
        <v>291.91609999999997</v>
      </c>
      <c r="E977" s="34">
        <v>245.61751000000001</v>
      </c>
      <c r="F977" s="34">
        <v>0</v>
      </c>
      <c r="G977" s="5">
        <f t="shared" si="15"/>
        <v>0.81292652777777785</v>
      </c>
    </row>
    <row r="978" spans="1:7" x14ac:dyDescent="0.3">
      <c r="A978" s="33">
        <v>46003.562835648147</v>
      </c>
      <c r="B978" s="34">
        <v>9770</v>
      </c>
      <c r="C978" s="34">
        <v>0.83879999999999999</v>
      </c>
      <c r="D978" s="34">
        <v>290.79109999999997</v>
      </c>
      <c r="E978" s="34">
        <v>243.74254999999999</v>
      </c>
      <c r="F978" s="34">
        <v>0</v>
      </c>
      <c r="G978" s="5">
        <f t="shared" si="15"/>
        <v>0.80931555555555545</v>
      </c>
    </row>
    <row r="979" spans="1:7" x14ac:dyDescent="0.3">
      <c r="A979" s="33">
        <v>46003.562951388885</v>
      </c>
      <c r="B979" s="34">
        <v>9780</v>
      </c>
      <c r="C979" s="34">
        <v>0.83499999999999996</v>
      </c>
      <c r="D979" s="34">
        <v>289.89109999999999</v>
      </c>
      <c r="E979" s="34">
        <v>241.86761000000001</v>
      </c>
      <c r="F979" s="34">
        <v>0</v>
      </c>
      <c r="G979" s="5">
        <f t="shared" si="15"/>
        <v>0.80650305555555557</v>
      </c>
    </row>
    <row r="980" spans="1:7" x14ac:dyDescent="0.3">
      <c r="A980" s="33">
        <v>46003.563078703701</v>
      </c>
      <c r="B980" s="34">
        <v>9790</v>
      </c>
      <c r="C980" s="34">
        <v>0.83379999999999999</v>
      </c>
      <c r="D980" s="34">
        <v>289.14120000000003</v>
      </c>
      <c r="E980" s="34">
        <v>240.61766</v>
      </c>
      <c r="F980" s="34">
        <v>0</v>
      </c>
      <c r="G980" s="5">
        <f t="shared" si="15"/>
        <v>0.80421152777777793</v>
      </c>
    </row>
    <row r="981" spans="1:7" x14ac:dyDescent="0.3">
      <c r="A981" s="33">
        <v>46003.563194444447</v>
      </c>
      <c r="B981" s="34">
        <v>9800</v>
      </c>
      <c r="C981" s="34">
        <v>0.83120000000000005</v>
      </c>
      <c r="D981" s="34">
        <v>288.49119999999999</v>
      </c>
      <c r="E981" s="34">
        <v>239.36769000000001</v>
      </c>
      <c r="F981" s="34">
        <v>0</v>
      </c>
      <c r="G981" s="5">
        <f t="shared" si="15"/>
        <v>0.80226722222222224</v>
      </c>
    </row>
    <row r="982" spans="1:7" x14ac:dyDescent="0.3">
      <c r="A982" s="33">
        <v>46003.563310185185</v>
      </c>
      <c r="B982" s="34">
        <v>9810</v>
      </c>
      <c r="C982" s="34">
        <v>0.82869999999999999</v>
      </c>
      <c r="D982" s="34">
        <v>287.9162</v>
      </c>
      <c r="E982" s="34">
        <v>238.74270999999999</v>
      </c>
      <c r="F982" s="34">
        <v>0</v>
      </c>
      <c r="G982" s="5">
        <f t="shared" si="15"/>
        <v>0.80056583333333342</v>
      </c>
    </row>
    <row r="983" spans="1:7" x14ac:dyDescent="0.3">
      <c r="A983" s="33">
        <v>46003.563425925924</v>
      </c>
      <c r="B983" s="34">
        <v>9820</v>
      </c>
      <c r="C983" s="34">
        <v>0.82750000000000001</v>
      </c>
      <c r="D983" s="34">
        <v>287.39120000000003</v>
      </c>
      <c r="E983" s="34">
        <v>237.49275</v>
      </c>
      <c r="F983" s="34">
        <v>0</v>
      </c>
      <c r="G983" s="5">
        <f t="shared" si="15"/>
        <v>0.79903805555555563</v>
      </c>
    </row>
    <row r="984" spans="1:7" x14ac:dyDescent="0.3">
      <c r="A984" s="33">
        <v>46003.56354166667</v>
      </c>
      <c r="B984" s="34">
        <v>9830</v>
      </c>
      <c r="C984" s="34">
        <v>0.82620000000000005</v>
      </c>
      <c r="D984" s="34">
        <v>286.9162</v>
      </c>
      <c r="E984" s="34">
        <v>236.24279999999999</v>
      </c>
      <c r="F984" s="34">
        <v>0</v>
      </c>
      <c r="G984" s="5">
        <f t="shared" si="15"/>
        <v>0.79764916666666674</v>
      </c>
    </row>
    <row r="985" spans="1:7" x14ac:dyDescent="0.3">
      <c r="A985" s="33">
        <v>46003.563657407409</v>
      </c>
      <c r="B985" s="34">
        <v>9840</v>
      </c>
      <c r="C985" s="34">
        <v>0.82499999999999996</v>
      </c>
      <c r="D985" s="34">
        <v>286.46620000000001</v>
      </c>
      <c r="E985" s="34">
        <v>236.24279999999999</v>
      </c>
      <c r="F985" s="34">
        <v>0</v>
      </c>
      <c r="G985" s="5">
        <f t="shared" si="15"/>
        <v>0.79636444444444443</v>
      </c>
    </row>
    <row r="986" spans="1:7" x14ac:dyDescent="0.3">
      <c r="A986" s="33">
        <v>46003.563773148147</v>
      </c>
      <c r="B986" s="34">
        <v>9850</v>
      </c>
      <c r="C986" s="34">
        <v>0.82369999999999999</v>
      </c>
      <c r="D986" s="34">
        <v>286.04129999999998</v>
      </c>
      <c r="E986" s="34">
        <v>235.61780999999999</v>
      </c>
      <c r="F986" s="34">
        <v>0</v>
      </c>
      <c r="G986" s="5">
        <f t="shared" si="15"/>
        <v>0.79514930555555552</v>
      </c>
    </row>
    <row r="987" spans="1:7" x14ac:dyDescent="0.3">
      <c r="A987" s="33">
        <v>46003.563888888886</v>
      </c>
      <c r="B987" s="34">
        <v>9860</v>
      </c>
      <c r="C987" s="34">
        <v>0.82250000000000001</v>
      </c>
      <c r="D987" s="34">
        <v>285.6413</v>
      </c>
      <c r="E987" s="34">
        <v>234.36784</v>
      </c>
      <c r="F987" s="34">
        <v>0</v>
      </c>
      <c r="G987" s="5">
        <f t="shared" si="15"/>
        <v>0.79400361111111106</v>
      </c>
    </row>
    <row r="988" spans="1:7" x14ac:dyDescent="0.3">
      <c r="A988" s="33">
        <v>46003.564004629632</v>
      </c>
      <c r="B988" s="34">
        <v>9870</v>
      </c>
      <c r="C988" s="34">
        <v>0.82120000000000004</v>
      </c>
      <c r="D988" s="34">
        <v>285.24130000000002</v>
      </c>
      <c r="E988" s="34">
        <v>234.36784</v>
      </c>
      <c r="F988" s="34">
        <v>0</v>
      </c>
      <c r="G988" s="5">
        <f t="shared" si="15"/>
        <v>0.79289250000000011</v>
      </c>
    </row>
    <row r="989" spans="1:7" x14ac:dyDescent="0.3">
      <c r="A989" s="33">
        <v>46003.564120370371</v>
      </c>
      <c r="B989" s="34">
        <v>9880</v>
      </c>
      <c r="C989" s="34">
        <v>0.82</v>
      </c>
      <c r="D989" s="34">
        <v>284.8913</v>
      </c>
      <c r="E989" s="34">
        <v>233.74286000000001</v>
      </c>
      <c r="F989" s="34">
        <v>0</v>
      </c>
      <c r="G989" s="5">
        <f t="shared" si="15"/>
        <v>0.79185083333333339</v>
      </c>
    </row>
    <row r="990" spans="1:7" x14ac:dyDescent="0.3">
      <c r="A990" s="33">
        <v>46003.564236111109</v>
      </c>
      <c r="B990" s="34">
        <v>9890</v>
      </c>
      <c r="C990" s="34">
        <v>0.81869999999999998</v>
      </c>
      <c r="D990" s="34">
        <v>284.56630000000001</v>
      </c>
      <c r="E990" s="34">
        <v>232.49289999999999</v>
      </c>
      <c r="F990" s="34">
        <v>0</v>
      </c>
      <c r="G990" s="5">
        <f t="shared" si="15"/>
        <v>0.79091333333333336</v>
      </c>
    </row>
    <row r="991" spans="1:7" x14ac:dyDescent="0.3">
      <c r="A991" s="33">
        <v>46003.564351851855</v>
      </c>
      <c r="B991" s="34">
        <v>9900</v>
      </c>
      <c r="C991" s="34">
        <v>0.81869999999999998</v>
      </c>
      <c r="D991" s="34">
        <v>284.24130000000002</v>
      </c>
      <c r="E991" s="34">
        <v>232.49289999999999</v>
      </c>
      <c r="F991" s="34">
        <v>0</v>
      </c>
      <c r="G991" s="5">
        <f t="shared" si="15"/>
        <v>0.79001055555555566</v>
      </c>
    </row>
    <row r="992" spans="1:7" x14ac:dyDescent="0.3">
      <c r="A992" s="33">
        <v>46003.564467592594</v>
      </c>
      <c r="B992" s="34">
        <v>9910</v>
      </c>
      <c r="C992" s="34">
        <v>0.8175</v>
      </c>
      <c r="D992" s="34">
        <v>283.91629999999998</v>
      </c>
      <c r="E992" s="34">
        <v>232.49289999999999</v>
      </c>
      <c r="F992" s="34">
        <v>0</v>
      </c>
      <c r="G992" s="5">
        <f t="shared" si="15"/>
        <v>0.78910777777777785</v>
      </c>
    </row>
    <row r="993" spans="1:7" x14ac:dyDescent="0.3">
      <c r="A993" s="33">
        <v>46003.564583333333</v>
      </c>
      <c r="B993" s="34">
        <v>9920</v>
      </c>
      <c r="C993" s="34">
        <v>0.81620000000000004</v>
      </c>
      <c r="D993" s="34">
        <v>283.59129999999999</v>
      </c>
      <c r="E993" s="34">
        <v>231.24295000000001</v>
      </c>
      <c r="F993" s="34">
        <v>0</v>
      </c>
      <c r="G993" s="5">
        <f t="shared" si="15"/>
        <v>0.78820499999999993</v>
      </c>
    </row>
    <row r="994" spans="1:7" x14ac:dyDescent="0.3">
      <c r="A994" s="33">
        <v>46003.564699074072</v>
      </c>
      <c r="B994" s="34">
        <v>9930</v>
      </c>
      <c r="C994" s="34">
        <v>0.81620000000000004</v>
      </c>
      <c r="D994" s="34">
        <v>283.26639999999998</v>
      </c>
      <c r="E994" s="34">
        <v>231.24295000000001</v>
      </c>
      <c r="F994" s="34">
        <v>0</v>
      </c>
      <c r="G994" s="5">
        <f t="shared" si="15"/>
        <v>0.78730236111111118</v>
      </c>
    </row>
    <row r="995" spans="1:7" x14ac:dyDescent="0.3">
      <c r="A995" s="33">
        <v>46003.564814814818</v>
      </c>
      <c r="B995" s="34">
        <v>9940</v>
      </c>
      <c r="C995" s="34">
        <v>0.81499999999999995</v>
      </c>
      <c r="D995" s="34">
        <v>282.96629999999999</v>
      </c>
      <c r="E995" s="34">
        <v>230.61797000000001</v>
      </c>
      <c r="F995" s="34">
        <v>0</v>
      </c>
      <c r="G995" s="5">
        <f t="shared" si="15"/>
        <v>0.7864343055555556</v>
      </c>
    </row>
    <row r="996" spans="1:7" x14ac:dyDescent="0.3">
      <c r="A996" s="33">
        <v>46003.564930555556</v>
      </c>
      <c r="B996" s="34">
        <v>9950</v>
      </c>
      <c r="C996" s="34">
        <v>0.81369999999999998</v>
      </c>
      <c r="D996" s="34">
        <v>282.66640000000001</v>
      </c>
      <c r="E996" s="34">
        <v>230.61797000000001</v>
      </c>
      <c r="F996" s="34">
        <v>0</v>
      </c>
      <c r="G996" s="5">
        <f t="shared" si="15"/>
        <v>0.78560097222222225</v>
      </c>
    </row>
    <row r="997" spans="1:7" x14ac:dyDescent="0.3">
      <c r="A997" s="33">
        <v>46003.565046296295</v>
      </c>
      <c r="B997" s="34">
        <v>9960</v>
      </c>
      <c r="C997" s="34">
        <v>0.8125</v>
      </c>
      <c r="D997" s="34">
        <v>282.3664</v>
      </c>
      <c r="E997" s="34">
        <v>229.36799999999999</v>
      </c>
      <c r="F997" s="34">
        <v>0</v>
      </c>
      <c r="G997" s="5">
        <f t="shared" si="15"/>
        <v>0.78476777777777773</v>
      </c>
    </row>
    <row r="998" spans="1:7" x14ac:dyDescent="0.3">
      <c r="A998" s="33">
        <v>46003.565162037034</v>
      </c>
      <c r="B998" s="34">
        <v>9970</v>
      </c>
      <c r="C998" s="34">
        <v>0.8125</v>
      </c>
      <c r="D998" s="34">
        <v>282.04140000000001</v>
      </c>
      <c r="E998" s="34">
        <v>228.74301</v>
      </c>
      <c r="F998" s="34">
        <v>0</v>
      </c>
      <c r="G998" s="5">
        <f t="shared" si="15"/>
        <v>0.78389972222222215</v>
      </c>
    </row>
    <row r="999" spans="1:7" x14ac:dyDescent="0.3">
      <c r="A999" s="33">
        <v>46003.56527777778</v>
      </c>
      <c r="B999" s="34">
        <v>9980</v>
      </c>
      <c r="C999" s="34">
        <v>0.81120000000000003</v>
      </c>
      <c r="D999" s="34">
        <v>281.76639999999998</v>
      </c>
      <c r="E999" s="34">
        <v>228.11804000000001</v>
      </c>
      <c r="F999" s="34">
        <v>0</v>
      </c>
      <c r="G999" s="5">
        <f t="shared" si="15"/>
        <v>0.78306638888888902</v>
      </c>
    </row>
    <row r="1000" spans="1:7" x14ac:dyDescent="0.3">
      <c r="A1000" s="33">
        <v>46003.565393518518</v>
      </c>
      <c r="B1000" s="34">
        <v>9990</v>
      </c>
      <c r="C1000" s="34">
        <v>0.81</v>
      </c>
      <c r="D1000" s="34">
        <v>281.46640000000002</v>
      </c>
      <c r="E1000" s="34">
        <v>228.11804000000001</v>
      </c>
      <c r="F1000" s="34">
        <v>0</v>
      </c>
      <c r="G1000" s="5">
        <f t="shared" si="15"/>
        <v>0.78226777777777778</v>
      </c>
    </row>
    <row r="1001" spans="1:7" x14ac:dyDescent="0.3">
      <c r="A1001" s="33">
        <v>46003.565509259257</v>
      </c>
      <c r="B1001" s="34">
        <v>10000</v>
      </c>
      <c r="C1001" s="34">
        <v>0.80869999999999997</v>
      </c>
      <c r="D1001" s="34">
        <v>281.19139999999999</v>
      </c>
      <c r="E1001" s="34">
        <v>227.49306000000001</v>
      </c>
      <c r="F1001" s="34">
        <v>0</v>
      </c>
      <c r="G1001" s="5">
        <f t="shared" si="15"/>
        <v>0.78146916666666666</v>
      </c>
    </row>
    <row r="1002" spans="1:7" x14ac:dyDescent="0.3">
      <c r="A1002" s="33">
        <v>46003.565625000003</v>
      </c>
      <c r="B1002" s="34">
        <v>10010</v>
      </c>
      <c r="C1002" s="34">
        <v>0.80869999999999997</v>
      </c>
      <c r="D1002" s="34">
        <v>280.89139999999998</v>
      </c>
      <c r="E1002" s="34">
        <v>227.49306000000001</v>
      </c>
      <c r="F1002" s="34">
        <v>0</v>
      </c>
      <c r="G1002" s="5">
        <f t="shared" si="15"/>
        <v>0.78067055555555542</v>
      </c>
    </row>
    <row r="1003" spans="1:7" x14ac:dyDescent="0.3">
      <c r="A1003" s="33">
        <v>46003.565740740742</v>
      </c>
      <c r="B1003" s="34">
        <v>10020</v>
      </c>
      <c r="C1003" s="34">
        <v>0.8075</v>
      </c>
      <c r="D1003" s="34">
        <v>280.59140000000002</v>
      </c>
      <c r="E1003" s="34">
        <v>226.2431</v>
      </c>
      <c r="F1003" s="34">
        <v>0</v>
      </c>
      <c r="G1003" s="5">
        <f t="shared" si="15"/>
        <v>0.77983722222222229</v>
      </c>
    </row>
    <row r="1004" spans="1:7" x14ac:dyDescent="0.3">
      <c r="A1004" s="33">
        <v>46003.56585648148</v>
      </c>
      <c r="B1004" s="34">
        <v>10030</v>
      </c>
      <c r="C1004" s="34">
        <v>1.0900000000000001</v>
      </c>
      <c r="D1004" s="34">
        <v>0</v>
      </c>
      <c r="E1004" s="34">
        <v>0</v>
      </c>
      <c r="F1004" s="34">
        <v>1</v>
      </c>
      <c r="G1004" s="5">
        <f t="shared" si="15"/>
        <v>0.38971027777777784</v>
      </c>
    </row>
    <row r="1005" spans="1:7" x14ac:dyDescent="0.3">
      <c r="A1005" s="33">
        <v>46003.565972222219</v>
      </c>
      <c r="B1005" s="34">
        <v>10040</v>
      </c>
      <c r="C1005" s="34">
        <v>1.1025</v>
      </c>
      <c r="D1005" s="34">
        <v>0</v>
      </c>
      <c r="E1005" s="34">
        <v>0</v>
      </c>
      <c r="F1005" s="34">
        <v>1</v>
      </c>
      <c r="G1005" s="5">
        <f t="shared" si="15"/>
        <v>0</v>
      </c>
    </row>
    <row r="1006" spans="1:7" x14ac:dyDescent="0.3">
      <c r="A1006" s="33">
        <v>46003.566087962965</v>
      </c>
      <c r="B1006" s="34">
        <v>10050</v>
      </c>
      <c r="C1006" s="34">
        <v>1.1000000000000001</v>
      </c>
      <c r="D1006" s="34">
        <v>0</v>
      </c>
      <c r="E1006" s="34">
        <v>0</v>
      </c>
      <c r="F1006" s="34">
        <v>1</v>
      </c>
      <c r="G1006" s="5">
        <f t="shared" si="15"/>
        <v>0</v>
      </c>
    </row>
    <row r="1007" spans="1:7" x14ac:dyDescent="0.3">
      <c r="A1007" s="33">
        <v>46003.566203703704</v>
      </c>
      <c r="B1007" s="34">
        <v>10060</v>
      </c>
      <c r="C1007" s="34">
        <v>1.105</v>
      </c>
      <c r="D1007" s="34">
        <v>0</v>
      </c>
      <c r="E1007" s="34">
        <v>0</v>
      </c>
      <c r="F1007" s="34">
        <v>1</v>
      </c>
      <c r="G1007" s="5">
        <f t="shared" si="15"/>
        <v>0</v>
      </c>
    </row>
    <row r="1008" spans="1:7" x14ac:dyDescent="0.3">
      <c r="A1008" s="33">
        <v>46003.566319444442</v>
      </c>
      <c r="B1008" s="34">
        <v>10070</v>
      </c>
      <c r="C1008" s="34">
        <v>1.1125</v>
      </c>
      <c r="D1008" s="34">
        <v>0</v>
      </c>
      <c r="E1008" s="34">
        <v>0</v>
      </c>
      <c r="F1008" s="34">
        <v>1</v>
      </c>
      <c r="G1008" s="5">
        <f t="shared" si="15"/>
        <v>0</v>
      </c>
    </row>
    <row r="1009" spans="1:7" x14ac:dyDescent="0.3">
      <c r="A1009" s="33">
        <v>46003.566435185188</v>
      </c>
      <c r="B1009" s="34">
        <v>10080</v>
      </c>
      <c r="C1009" s="34">
        <v>1.1187</v>
      </c>
      <c r="D1009" s="34">
        <v>0</v>
      </c>
      <c r="E1009" s="34">
        <v>0</v>
      </c>
      <c r="F1009" s="34">
        <v>1</v>
      </c>
      <c r="G1009" s="5">
        <f t="shared" si="15"/>
        <v>0</v>
      </c>
    </row>
    <row r="1010" spans="1:7" x14ac:dyDescent="0.3">
      <c r="A1010" s="33">
        <v>46003.566550925927</v>
      </c>
      <c r="B1010" s="34">
        <v>10090</v>
      </c>
      <c r="C1010" s="34">
        <v>1.1174999999999999</v>
      </c>
      <c r="D1010" s="34">
        <v>0</v>
      </c>
      <c r="E1010" s="34">
        <v>0</v>
      </c>
      <c r="F1010" s="34">
        <v>1</v>
      </c>
      <c r="G1010" s="5">
        <f t="shared" si="15"/>
        <v>0</v>
      </c>
    </row>
    <row r="1011" spans="1:7" x14ac:dyDescent="0.3">
      <c r="A1011" s="33">
        <v>46003.566666666666</v>
      </c>
      <c r="B1011" s="34">
        <v>10100</v>
      </c>
      <c r="C1011" s="34">
        <v>1.1213</v>
      </c>
      <c r="D1011" s="34">
        <v>0</v>
      </c>
      <c r="E1011" s="34">
        <v>0</v>
      </c>
      <c r="F1011" s="34">
        <v>1</v>
      </c>
      <c r="G1011" s="5">
        <f t="shared" si="15"/>
        <v>0</v>
      </c>
    </row>
    <row r="1012" spans="1:7" x14ac:dyDescent="0.3">
      <c r="A1012" s="33">
        <v>46003.566782407404</v>
      </c>
      <c r="B1012" s="34">
        <v>10110</v>
      </c>
      <c r="C1012" s="34">
        <v>1.1263000000000001</v>
      </c>
      <c r="D1012" s="34">
        <v>0</v>
      </c>
      <c r="E1012" s="34">
        <v>0</v>
      </c>
      <c r="F1012" s="34">
        <v>1</v>
      </c>
      <c r="G1012" s="5">
        <f t="shared" si="15"/>
        <v>0</v>
      </c>
    </row>
    <row r="1013" spans="1:7" x14ac:dyDescent="0.3">
      <c r="A1013" s="33">
        <v>46003.56689814815</v>
      </c>
      <c r="B1013" s="34">
        <v>10120</v>
      </c>
      <c r="C1013" s="34">
        <v>0.83879999999999999</v>
      </c>
      <c r="D1013" s="34">
        <v>294.44099999999997</v>
      </c>
      <c r="E1013" s="34">
        <v>246.86745999999999</v>
      </c>
      <c r="F1013" s="34">
        <v>0</v>
      </c>
      <c r="G1013" s="5">
        <f t="shared" si="15"/>
        <v>0.40894583333333329</v>
      </c>
    </row>
    <row r="1014" spans="1:7" x14ac:dyDescent="0.3">
      <c r="A1014" s="33">
        <v>46003.567013888889</v>
      </c>
      <c r="B1014" s="34">
        <v>10130</v>
      </c>
      <c r="C1014" s="34">
        <v>0.82620000000000005</v>
      </c>
      <c r="D1014" s="34">
        <v>290.16609999999997</v>
      </c>
      <c r="E1014" s="34">
        <v>239.36769000000001</v>
      </c>
      <c r="F1014" s="34">
        <v>0</v>
      </c>
      <c r="G1014" s="5">
        <f t="shared" si="15"/>
        <v>0.81195430555555548</v>
      </c>
    </row>
    <row r="1015" spans="1:7" x14ac:dyDescent="0.3">
      <c r="A1015" s="33">
        <v>46003.567129629628</v>
      </c>
      <c r="B1015" s="34">
        <v>10140</v>
      </c>
      <c r="C1015" s="34">
        <v>0.82</v>
      </c>
      <c r="D1015" s="34">
        <v>287.96620000000001</v>
      </c>
      <c r="E1015" s="34">
        <v>236.24279999999999</v>
      </c>
      <c r="F1015" s="34">
        <v>0</v>
      </c>
      <c r="G1015" s="5">
        <f t="shared" si="15"/>
        <v>0.80296152777777774</v>
      </c>
    </row>
    <row r="1016" spans="1:7" x14ac:dyDescent="0.3">
      <c r="A1016" s="33">
        <v>46003.567245370374</v>
      </c>
      <c r="B1016" s="34">
        <v>10150</v>
      </c>
      <c r="C1016" s="34">
        <v>0.81499999999999995</v>
      </c>
      <c r="D1016" s="34">
        <v>286.39120000000003</v>
      </c>
      <c r="E1016" s="34">
        <v>233.74286000000001</v>
      </c>
      <c r="F1016" s="34">
        <v>0</v>
      </c>
      <c r="G1016" s="5">
        <f t="shared" si="15"/>
        <v>0.79771861111111131</v>
      </c>
    </row>
    <row r="1017" spans="1:7" x14ac:dyDescent="0.3">
      <c r="A1017" s="33">
        <v>46003.567361111112</v>
      </c>
      <c r="B1017" s="34">
        <v>10160</v>
      </c>
      <c r="C1017" s="34">
        <v>0.81120000000000003</v>
      </c>
      <c r="D1017" s="34">
        <v>285.19130000000001</v>
      </c>
      <c r="E1017" s="34">
        <v>231.24295000000001</v>
      </c>
      <c r="F1017" s="34">
        <v>0</v>
      </c>
      <c r="G1017" s="5">
        <f t="shared" si="15"/>
        <v>0.79386458333333332</v>
      </c>
    </row>
    <row r="1018" spans="1:7" x14ac:dyDescent="0.3">
      <c r="A1018" s="33">
        <v>46003.567476851851</v>
      </c>
      <c r="B1018" s="34">
        <v>10170</v>
      </c>
      <c r="C1018" s="34">
        <v>0.8075</v>
      </c>
      <c r="D1018" s="34">
        <v>284.21629999999999</v>
      </c>
      <c r="E1018" s="34">
        <v>229.36799999999999</v>
      </c>
      <c r="F1018" s="34">
        <v>0</v>
      </c>
      <c r="G1018" s="5">
        <f t="shared" si="15"/>
        <v>0.7908438888888889</v>
      </c>
    </row>
    <row r="1019" spans="1:7" x14ac:dyDescent="0.3">
      <c r="A1019" s="33">
        <v>46003.56759259259</v>
      </c>
      <c r="B1019" s="34">
        <v>10180</v>
      </c>
      <c r="C1019" s="34">
        <v>0.80369999999999997</v>
      </c>
      <c r="D1019" s="34">
        <v>283.3913</v>
      </c>
      <c r="E1019" s="34">
        <v>227.49306000000001</v>
      </c>
      <c r="F1019" s="34">
        <v>0</v>
      </c>
      <c r="G1019" s="5">
        <f t="shared" si="15"/>
        <v>0.78834388888888896</v>
      </c>
    </row>
    <row r="1020" spans="1:7" x14ac:dyDescent="0.3">
      <c r="A1020" s="33">
        <v>46003.567708333336</v>
      </c>
      <c r="B1020" s="34">
        <v>10190</v>
      </c>
      <c r="C1020" s="34">
        <v>0.80249999999999999</v>
      </c>
      <c r="D1020" s="34">
        <v>282.69139999999999</v>
      </c>
      <c r="E1020" s="34">
        <v>226.86806999999999</v>
      </c>
      <c r="F1020" s="34">
        <v>0</v>
      </c>
      <c r="G1020" s="5">
        <f t="shared" si="15"/>
        <v>0.78622597222222212</v>
      </c>
    </row>
    <row r="1021" spans="1:7" x14ac:dyDescent="0.3">
      <c r="A1021" s="33">
        <v>46003.567824074074</v>
      </c>
      <c r="B1021" s="34">
        <v>10200</v>
      </c>
      <c r="C1021" s="34">
        <v>0.8</v>
      </c>
      <c r="D1021" s="34">
        <v>282.06639999999999</v>
      </c>
      <c r="E1021" s="34">
        <v>224.99313000000001</v>
      </c>
      <c r="F1021" s="34">
        <v>0</v>
      </c>
      <c r="G1021" s="5">
        <f t="shared" si="15"/>
        <v>0.78438583333333334</v>
      </c>
    </row>
    <row r="1022" spans="1:7" x14ac:dyDescent="0.3">
      <c r="A1022" s="33">
        <v>46003.567939814813</v>
      </c>
      <c r="B1022" s="34">
        <v>10210</v>
      </c>
      <c r="C1022" s="34">
        <v>0.79869999999999997</v>
      </c>
      <c r="D1022" s="34">
        <v>281.51639999999998</v>
      </c>
      <c r="E1022" s="34">
        <v>224.99313000000001</v>
      </c>
      <c r="F1022" s="34">
        <v>0</v>
      </c>
      <c r="G1022" s="5">
        <f t="shared" si="15"/>
        <v>0.78275388888888875</v>
      </c>
    </row>
    <row r="1023" spans="1:7" x14ac:dyDescent="0.3">
      <c r="A1023" s="33">
        <v>46003.568055555559</v>
      </c>
      <c r="B1023" s="34">
        <v>10220</v>
      </c>
      <c r="C1023" s="34">
        <v>0.8</v>
      </c>
      <c r="D1023" s="34">
        <v>280.9914</v>
      </c>
      <c r="E1023" s="34">
        <v>224.36815000000001</v>
      </c>
      <c r="F1023" s="34">
        <v>0</v>
      </c>
      <c r="G1023" s="5">
        <f t="shared" si="15"/>
        <v>0.78126083333333329</v>
      </c>
    </row>
    <row r="1024" spans="1:7" x14ac:dyDescent="0.3">
      <c r="A1024" s="33">
        <v>46003.568171296298</v>
      </c>
      <c r="B1024" s="34">
        <v>10230</v>
      </c>
      <c r="C1024" s="34">
        <v>0.79500000000000004</v>
      </c>
      <c r="D1024" s="34">
        <v>280.4914</v>
      </c>
      <c r="E1024" s="34">
        <v>223.11819</v>
      </c>
      <c r="F1024" s="34">
        <v>0</v>
      </c>
      <c r="G1024" s="5">
        <f t="shared" si="15"/>
        <v>0.77983722222222229</v>
      </c>
    </row>
    <row r="1025" spans="1:7" x14ac:dyDescent="0.3">
      <c r="A1025" s="33">
        <v>46003.568287037036</v>
      </c>
      <c r="B1025" s="34">
        <v>10240</v>
      </c>
      <c r="C1025" s="34">
        <v>0.79749999999999999</v>
      </c>
      <c r="D1025" s="34">
        <v>280.01639999999998</v>
      </c>
      <c r="E1025" s="34">
        <v>223.11819</v>
      </c>
      <c r="F1025" s="34">
        <v>0</v>
      </c>
      <c r="G1025" s="5">
        <f t="shared" si="15"/>
        <v>0.77848305555555553</v>
      </c>
    </row>
    <row r="1026" spans="1:7" x14ac:dyDescent="0.3">
      <c r="A1026" s="33">
        <v>46003.568402777775</v>
      </c>
      <c r="B1026" s="34">
        <v>10250</v>
      </c>
      <c r="C1026" s="34">
        <v>0.79500000000000004</v>
      </c>
      <c r="D1026" s="34">
        <v>279.5915</v>
      </c>
      <c r="E1026" s="34">
        <v>222.49321</v>
      </c>
      <c r="F1026" s="34">
        <v>0</v>
      </c>
      <c r="G1026" s="5">
        <f t="shared" si="15"/>
        <v>0.77723319444444439</v>
      </c>
    </row>
    <row r="1027" spans="1:7" x14ac:dyDescent="0.3">
      <c r="A1027" s="33">
        <v>46003.568518518521</v>
      </c>
      <c r="B1027" s="34">
        <v>10260</v>
      </c>
      <c r="C1027" s="34">
        <v>0.79369999999999996</v>
      </c>
      <c r="D1027" s="34">
        <v>279.14150000000001</v>
      </c>
      <c r="E1027" s="34">
        <v>221.86823000000001</v>
      </c>
      <c r="F1027" s="34">
        <v>0</v>
      </c>
      <c r="G1027" s="5">
        <f t="shared" si="15"/>
        <v>0.77601805555555547</v>
      </c>
    </row>
    <row r="1028" spans="1:7" x14ac:dyDescent="0.3">
      <c r="A1028" s="33">
        <v>46003.56863425926</v>
      </c>
      <c r="B1028" s="34">
        <v>10270</v>
      </c>
      <c r="C1028" s="34">
        <v>0.79369999999999996</v>
      </c>
      <c r="D1028" s="34">
        <v>278.74149999999997</v>
      </c>
      <c r="E1028" s="34">
        <v>221.24325999999999</v>
      </c>
      <c r="F1028" s="34">
        <v>0</v>
      </c>
      <c r="G1028" s="5">
        <f t="shared" si="15"/>
        <v>0.77483750000000007</v>
      </c>
    </row>
    <row r="1029" spans="1:7" x14ac:dyDescent="0.3">
      <c r="A1029" s="33">
        <v>46003.568749999999</v>
      </c>
      <c r="B1029" s="34">
        <v>10280</v>
      </c>
      <c r="C1029" s="34">
        <v>0.79120000000000001</v>
      </c>
      <c r="D1029" s="34">
        <v>278.3415</v>
      </c>
      <c r="E1029" s="34">
        <v>219.99329</v>
      </c>
      <c r="F1029" s="34">
        <v>0</v>
      </c>
      <c r="G1029" s="5">
        <f t="shared" si="15"/>
        <v>0.77372638888888889</v>
      </c>
    </row>
    <row r="1030" spans="1:7" x14ac:dyDescent="0.3">
      <c r="A1030" s="33">
        <v>46003.568865740737</v>
      </c>
      <c r="B1030" s="34">
        <v>10290</v>
      </c>
      <c r="C1030" s="34">
        <v>0.79</v>
      </c>
      <c r="D1030" s="34">
        <v>277.94150000000002</v>
      </c>
      <c r="E1030" s="34">
        <v>219.3683</v>
      </c>
      <c r="F1030" s="34">
        <v>0</v>
      </c>
      <c r="G1030" s="5">
        <f t="shared" si="15"/>
        <v>0.77261527777777783</v>
      </c>
    </row>
    <row r="1031" spans="1:7" x14ac:dyDescent="0.3">
      <c r="A1031" s="33">
        <v>46003.568981481483</v>
      </c>
      <c r="B1031" s="34">
        <v>10300</v>
      </c>
      <c r="C1031" s="34">
        <v>0.78869999999999996</v>
      </c>
      <c r="D1031" s="34">
        <v>277.56650000000002</v>
      </c>
      <c r="E1031" s="34">
        <v>219.3683</v>
      </c>
      <c r="F1031" s="34">
        <v>0</v>
      </c>
      <c r="G1031" s="5">
        <f t="shared" ref="G1031:G1094" si="16">($B$2/3600)*((D1030+D1031)/2)</f>
        <v>0.771538888888889</v>
      </c>
    </row>
    <row r="1032" spans="1:7" x14ac:dyDescent="0.3">
      <c r="A1032" s="33">
        <v>46003.569097222222</v>
      </c>
      <c r="B1032" s="34">
        <v>10310</v>
      </c>
      <c r="C1032" s="34">
        <v>0.78749999999999998</v>
      </c>
      <c r="D1032" s="34">
        <v>277.19150000000002</v>
      </c>
      <c r="E1032" s="34">
        <v>218.11834999999999</v>
      </c>
      <c r="F1032" s="34">
        <v>0</v>
      </c>
      <c r="G1032" s="5">
        <f t="shared" si="16"/>
        <v>0.77049722222222228</v>
      </c>
    </row>
    <row r="1033" spans="1:7" x14ac:dyDescent="0.3">
      <c r="A1033" s="33">
        <v>46003.569212962961</v>
      </c>
      <c r="B1033" s="34">
        <v>10320</v>
      </c>
      <c r="C1033" s="34">
        <v>0.78749999999999998</v>
      </c>
      <c r="D1033" s="34">
        <v>276.86649999999997</v>
      </c>
      <c r="E1033" s="34">
        <v>218.11834999999999</v>
      </c>
      <c r="F1033" s="34">
        <v>0</v>
      </c>
      <c r="G1033" s="5">
        <f t="shared" si="16"/>
        <v>0.76952500000000001</v>
      </c>
    </row>
    <row r="1034" spans="1:7" x14ac:dyDescent="0.3">
      <c r="A1034" s="33">
        <v>46003.569328703707</v>
      </c>
      <c r="B1034" s="34">
        <v>10330</v>
      </c>
      <c r="C1034" s="34">
        <v>0.78620000000000001</v>
      </c>
      <c r="D1034" s="34">
        <v>276.51650000000001</v>
      </c>
      <c r="E1034" s="34">
        <v>217.49336</v>
      </c>
      <c r="F1034" s="34">
        <v>0</v>
      </c>
      <c r="G1034" s="5">
        <f t="shared" si="16"/>
        <v>0.76858750000000009</v>
      </c>
    </row>
    <row r="1035" spans="1:7" x14ac:dyDescent="0.3">
      <c r="A1035" s="33">
        <v>46003.569444444445</v>
      </c>
      <c r="B1035" s="34">
        <v>10340</v>
      </c>
      <c r="C1035" s="34">
        <v>0.78500000000000003</v>
      </c>
      <c r="D1035" s="34">
        <v>276.16660000000002</v>
      </c>
      <c r="E1035" s="34">
        <v>216.86838</v>
      </c>
      <c r="F1035" s="34">
        <v>0</v>
      </c>
      <c r="G1035" s="5">
        <f t="shared" si="16"/>
        <v>0.76761541666666666</v>
      </c>
    </row>
    <row r="1036" spans="1:7" x14ac:dyDescent="0.3">
      <c r="A1036" s="33">
        <v>46003.569560185184</v>
      </c>
      <c r="B1036" s="34">
        <v>10350</v>
      </c>
      <c r="C1036" s="34">
        <v>0.78369999999999995</v>
      </c>
      <c r="D1036" s="34">
        <v>275.81659999999999</v>
      </c>
      <c r="E1036" s="34">
        <v>216.24341000000001</v>
      </c>
      <c r="F1036" s="34">
        <v>0</v>
      </c>
      <c r="G1036" s="5">
        <f t="shared" si="16"/>
        <v>0.76664333333333334</v>
      </c>
    </row>
    <row r="1037" spans="1:7" x14ac:dyDescent="0.3">
      <c r="A1037" s="33">
        <v>46003.569675925923</v>
      </c>
      <c r="B1037" s="34">
        <v>10360</v>
      </c>
      <c r="C1037" s="34">
        <v>0.78249999999999997</v>
      </c>
      <c r="D1037" s="34">
        <v>275.46660000000003</v>
      </c>
      <c r="E1037" s="34">
        <v>215.61841999999999</v>
      </c>
      <c r="F1037" s="34">
        <v>0</v>
      </c>
      <c r="G1037" s="5">
        <f t="shared" si="16"/>
        <v>0.7656711111111113</v>
      </c>
    </row>
    <row r="1038" spans="1:7" x14ac:dyDescent="0.3">
      <c r="A1038" s="33">
        <v>46003.569791666669</v>
      </c>
      <c r="B1038" s="34">
        <v>10370</v>
      </c>
      <c r="C1038" s="34">
        <v>0.78129999999999999</v>
      </c>
      <c r="D1038" s="34">
        <v>275.11660000000001</v>
      </c>
      <c r="E1038" s="34">
        <v>214.99343999999999</v>
      </c>
      <c r="F1038" s="34">
        <v>0</v>
      </c>
      <c r="G1038" s="5">
        <f t="shared" si="16"/>
        <v>0.76469888888888893</v>
      </c>
    </row>
    <row r="1039" spans="1:7" x14ac:dyDescent="0.3">
      <c r="A1039" s="33">
        <v>46003.569907407407</v>
      </c>
      <c r="B1039" s="34">
        <v>10380</v>
      </c>
      <c r="C1039" s="34">
        <v>0.78</v>
      </c>
      <c r="D1039" s="34">
        <v>274.76659999999998</v>
      </c>
      <c r="E1039" s="34">
        <v>213.74347</v>
      </c>
      <c r="F1039" s="34">
        <v>0</v>
      </c>
      <c r="G1039" s="5">
        <f t="shared" si="16"/>
        <v>0.76372666666666666</v>
      </c>
    </row>
    <row r="1040" spans="1:7" x14ac:dyDescent="0.3">
      <c r="A1040" s="33">
        <v>46003.570023148146</v>
      </c>
      <c r="B1040" s="34">
        <v>10390</v>
      </c>
      <c r="C1040" s="34">
        <v>0.77880000000000005</v>
      </c>
      <c r="D1040" s="34">
        <v>274.41660000000002</v>
      </c>
      <c r="E1040" s="34">
        <v>213.74347</v>
      </c>
      <c r="F1040" s="34">
        <v>0</v>
      </c>
      <c r="G1040" s="5">
        <f t="shared" si="16"/>
        <v>0.7627544444444444</v>
      </c>
    </row>
    <row r="1041" spans="1:7" x14ac:dyDescent="0.3">
      <c r="A1041" s="33">
        <v>46003.570138888892</v>
      </c>
      <c r="B1041" s="34">
        <v>10400</v>
      </c>
      <c r="C1041" s="34">
        <v>0.77880000000000005</v>
      </c>
      <c r="D1041" s="34">
        <v>274.06659999999999</v>
      </c>
      <c r="E1041" s="34">
        <v>213.11850000000001</v>
      </c>
      <c r="F1041" s="34">
        <v>0</v>
      </c>
      <c r="G1041" s="5">
        <f t="shared" si="16"/>
        <v>0.76178222222222225</v>
      </c>
    </row>
    <row r="1042" spans="1:7" x14ac:dyDescent="0.3">
      <c r="A1042" s="33">
        <v>46003.570254629631</v>
      </c>
      <c r="B1042" s="34">
        <v>10410</v>
      </c>
      <c r="C1042" s="34">
        <v>0.77880000000000005</v>
      </c>
      <c r="D1042" s="34">
        <v>273.74160000000001</v>
      </c>
      <c r="E1042" s="34">
        <v>213.11850000000001</v>
      </c>
      <c r="F1042" s="34">
        <v>0</v>
      </c>
      <c r="G1042" s="5">
        <f t="shared" si="16"/>
        <v>0.76084472222222221</v>
      </c>
    </row>
    <row r="1043" spans="1:7" x14ac:dyDescent="0.3">
      <c r="A1043" s="33">
        <v>46003.570370370369</v>
      </c>
      <c r="B1043" s="34">
        <v>10420</v>
      </c>
      <c r="C1043" s="34">
        <v>1.0662</v>
      </c>
      <c r="D1043" s="34">
        <v>0</v>
      </c>
      <c r="E1043" s="34">
        <v>0</v>
      </c>
      <c r="F1043" s="34">
        <v>1</v>
      </c>
      <c r="G1043" s="5">
        <f t="shared" si="16"/>
        <v>0.38019666666666668</v>
      </c>
    </row>
    <row r="1044" spans="1:7" x14ac:dyDescent="0.3">
      <c r="A1044" s="33">
        <v>46003.570486111108</v>
      </c>
      <c r="B1044" s="34">
        <v>10430</v>
      </c>
      <c r="C1044" s="34">
        <v>1.0838000000000001</v>
      </c>
      <c r="D1044" s="34">
        <v>0</v>
      </c>
      <c r="E1044" s="34">
        <v>0</v>
      </c>
      <c r="F1044" s="34">
        <v>1</v>
      </c>
      <c r="G1044" s="5">
        <f t="shared" si="16"/>
        <v>0</v>
      </c>
    </row>
    <row r="1045" spans="1:7" x14ac:dyDescent="0.3">
      <c r="A1045" s="33">
        <v>46003.570601851854</v>
      </c>
      <c r="B1045" s="34">
        <v>10440</v>
      </c>
      <c r="C1045" s="34">
        <v>1.095</v>
      </c>
      <c r="D1045" s="34">
        <v>0</v>
      </c>
      <c r="E1045" s="34">
        <v>0</v>
      </c>
      <c r="F1045" s="34">
        <v>1</v>
      </c>
      <c r="G1045" s="5">
        <f t="shared" si="16"/>
        <v>0</v>
      </c>
    </row>
    <row r="1046" spans="1:7" x14ac:dyDescent="0.3">
      <c r="A1046" s="33">
        <v>46003.570717592593</v>
      </c>
      <c r="B1046" s="34">
        <v>10450</v>
      </c>
      <c r="C1046" s="34">
        <v>1.1025</v>
      </c>
      <c r="D1046" s="34">
        <v>0</v>
      </c>
      <c r="E1046" s="34">
        <v>0</v>
      </c>
      <c r="F1046" s="34">
        <v>1</v>
      </c>
      <c r="G1046" s="5">
        <f t="shared" si="16"/>
        <v>0</v>
      </c>
    </row>
    <row r="1047" spans="1:7" x14ac:dyDescent="0.3">
      <c r="A1047" s="33">
        <v>46003.570833333331</v>
      </c>
      <c r="B1047" s="34">
        <v>10460</v>
      </c>
      <c r="C1047" s="34">
        <v>1.1100000000000001</v>
      </c>
      <c r="D1047" s="34">
        <v>0</v>
      </c>
      <c r="E1047" s="34">
        <v>0</v>
      </c>
      <c r="F1047" s="34">
        <v>1</v>
      </c>
      <c r="G1047" s="5">
        <f t="shared" si="16"/>
        <v>0</v>
      </c>
    </row>
    <row r="1048" spans="1:7" x14ac:dyDescent="0.3">
      <c r="A1048" s="33">
        <v>46003.570949074077</v>
      </c>
      <c r="B1048" s="34">
        <v>10470</v>
      </c>
      <c r="C1048" s="34">
        <v>1.115</v>
      </c>
      <c r="D1048" s="34">
        <v>0</v>
      </c>
      <c r="E1048" s="34">
        <v>0</v>
      </c>
      <c r="F1048" s="34">
        <v>1</v>
      </c>
      <c r="G1048" s="5">
        <f t="shared" si="16"/>
        <v>0</v>
      </c>
    </row>
    <row r="1049" spans="1:7" x14ac:dyDescent="0.3">
      <c r="A1049" s="33">
        <v>46003.571064814816</v>
      </c>
      <c r="B1049" s="34">
        <v>10480</v>
      </c>
      <c r="C1049" s="34">
        <v>1.1162000000000001</v>
      </c>
      <c r="D1049" s="34">
        <v>0</v>
      </c>
      <c r="E1049" s="34">
        <v>0</v>
      </c>
      <c r="F1049" s="34">
        <v>1</v>
      </c>
      <c r="G1049" s="5">
        <f t="shared" si="16"/>
        <v>0</v>
      </c>
    </row>
    <row r="1050" spans="1:7" x14ac:dyDescent="0.3">
      <c r="A1050" s="33">
        <v>46003.571180555555</v>
      </c>
      <c r="B1050" s="34">
        <v>10490</v>
      </c>
      <c r="C1050" s="34">
        <v>1.1200000000000001</v>
      </c>
      <c r="D1050" s="34">
        <v>0</v>
      </c>
      <c r="E1050" s="34">
        <v>0</v>
      </c>
      <c r="F1050" s="34">
        <v>1</v>
      </c>
      <c r="G1050" s="5">
        <f t="shared" si="16"/>
        <v>0</v>
      </c>
    </row>
    <row r="1051" spans="1:7" x14ac:dyDescent="0.3">
      <c r="A1051" s="33">
        <v>46003.571296296293</v>
      </c>
      <c r="B1051" s="34">
        <v>10500</v>
      </c>
      <c r="C1051" s="34">
        <v>1.125</v>
      </c>
      <c r="D1051" s="34">
        <v>0</v>
      </c>
      <c r="E1051" s="34">
        <v>0</v>
      </c>
      <c r="F1051" s="34">
        <v>1</v>
      </c>
      <c r="G1051" s="5">
        <f t="shared" si="16"/>
        <v>0</v>
      </c>
    </row>
    <row r="1052" spans="1:7" x14ac:dyDescent="0.3">
      <c r="A1052" s="33">
        <v>46003.571412037039</v>
      </c>
      <c r="B1052" s="34">
        <v>10510</v>
      </c>
      <c r="C1052" s="34">
        <v>0.82369999999999999</v>
      </c>
      <c r="D1052" s="34">
        <v>289.0412</v>
      </c>
      <c r="E1052" s="34">
        <v>237.49275</v>
      </c>
      <c r="F1052" s="34">
        <v>0</v>
      </c>
      <c r="G1052" s="5">
        <f t="shared" si="16"/>
        <v>0.40144611111111111</v>
      </c>
    </row>
    <row r="1053" spans="1:7" x14ac:dyDescent="0.3">
      <c r="A1053" s="33">
        <v>46003.571527777778</v>
      </c>
      <c r="B1053" s="34">
        <v>10520</v>
      </c>
      <c r="C1053" s="34">
        <v>0.80869999999999997</v>
      </c>
      <c r="D1053" s="34">
        <v>284.2663</v>
      </c>
      <c r="E1053" s="34">
        <v>229.99297999999999</v>
      </c>
      <c r="F1053" s="34">
        <v>0</v>
      </c>
      <c r="G1053" s="5">
        <f t="shared" si="16"/>
        <v>0.79626041666666669</v>
      </c>
    </row>
    <row r="1054" spans="1:7" x14ac:dyDescent="0.3">
      <c r="A1054" s="33">
        <v>46003.571643518517</v>
      </c>
      <c r="B1054" s="34">
        <v>10530</v>
      </c>
      <c r="C1054" s="34">
        <v>0.80120000000000002</v>
      </c>
      <c r="D1054" s="34">
        <v>281.81639999999999</v>
      </c>
      <c r="E1054" s="34">
        <v>224.99313000000001</v>
      </c>
      <c r="F1054" s="34">
        <v>0</v>
      </c>
      <c r="G1054" s="5">
        <f t="shared" si="16"/>
        <v>0.78622597222222212</v>
      </c>
    </row>
    <row r="1055" spans="1:7" x14ac:dyDescent="0.3">
      <c r="A1055" s="33">
        <v>46003.571759259263</v>
      </c>
      <c r="B1055" s="34">
        <v>10540</v>
      </c>
      <c r="C1055" s="34">
        <v>0.79869999999999997</v>
      </c>
      <c r="D1055" s="34">
        <v>280.14139999999998</v>
      </c>
      <c r="E1055" s="34">
        <v>223.11819</v>
      </c>
      <c r="F1055" s="34">
        <v>0</v>
      </c>
      <c r="G1055" s="5">
        <f t="shared" si="16"/>
        <v>0.7804969444444444</v>
      </c>
    </row>
    <row r="1056" spans="1:7" x14ac:dyDescent="0.3">
      <c r="A1056" s="33">
        <v>46003.571875000001</v>
      </c>
      <c r="B1056" s="34">
        <v>10550</v>
      </c>
      <c r="C1056" s="34">
        <v>0.79369999999999996</v>
      </c>
      <c r="D1056" s="34">
        <v>278.81650000000002</v>
      </c>
      <c r="E1056" s="34">
        <v>221.24325999999999</v>
      </c>
      <c r="F1056" s="34">
        <v>0</v>
      </c>
      <c r="G1056" s="5">
        <f t="shared" si="16"/>
        <v>0.77633041666666669</v>
      </c>
    </row>
    <row r="1057" spans="1:7" x14ac:dyDescent="0.3">
      <c r="A1057" s="33">
        <v>46003.57199074074</v>
      </c>
      <c r="B1057" s="34">
        <v>10560</v>
      </c>
      <c r="C1057" s="34">
        <v>0.78869999999999996</v>
      </c>
      <c r="D1057" s="34">
        <v>277.76650000000001</v>
      </c>
      <c r="E1057" s="34">
        <v>219.3683</v>
      </c>
      <c r="F1057" s="34">
        <v>0</v>
      </c>
      <c r="G1057" s="5">
        <f t="shared" si="16"/>
        <v>0.77303194444444456</v>
      </c>
    </row>
    <row r="1058" spans="1:7" x14ac:dyDescent="0.3">
      <c r="A1058" s="33">
        <v>46003.572106481479</v>
      </c>
      <c r="B1058" s="34">
        <v>10570</v>
      </c>
      <c r="C1058" s="34">
        <v>0.78749999999999998</v>
      </c>
      <c r="D1058" s="34">
        <v>276.86649999999997</v>
      </c>
      <c r="E1058" s="34">
        <v>218.11834999999999</v>
      </c>
      <c r="F1058" s="34">
        <v>0</v>
      </c>
      <c r="G1058" s="5">
        <f t="shared" si="16"/>
        <v>0.77032361111111114</v>
      </c>
    </row>
    <row r="1059" spans="1:7" x14ac:dyDescent="0.3">
      <c r="A1059" s="33">
        <v>46003.572222222225</v>
      </c>
      <c r="B1059" s="34">
        <v>10580</v>
      </c>
      <c r="C1059" s="34">
        <v>0.78500000000000003</v>
      </c>
      <c r="D1059" s="34">
        <v>276.11660000000001</v>
      </c>
      <c r="E1059" s="34">
        <v>216.86838</v>
      </c>
      <c r="F1059" s="34">
        <v>0</v>
      </c>
      <c r="G1059" s="5">
        <f t="shared" si="16"/>
        <v>0.76803208333333328</v>
      </c>
    </row>
    <row r="1060" spans="1:7" x14ac:dyDescent="0.3">
      <c r="A1060" s="33">
        <v>46003.572337962964</v>
      </c>
      <c r="B1060" s="34">
        <v>10590</v>
      </c>
      <c r="C1060" s="34">
        <v>0.78129999999999999</v>
      </c>
      <c r="D1060" s="34">
        <v>275.39159999999998</v>
      </c>
      <c r="E1060" s="34">
        <v>214.99343999999999</v>
      </c>
      <c r="F1060" s="34">
        <v>0</v>
      </c>
      <c r="G1060" s="5">
        <f t="shared" si="16"/>
        <v>0.76598361111111113</v>
      </c>
    </row>
    <row r="1061" spans="1:7" x14ac:dyDescent="0.3">
      <c r="A1061" s="33">
        <v>46003.572453703702</v>
      </c>
      <c r="B1061" s="34">
        <v>10600</v>
      </c>
      <c r="C1061" s="34">
        <v>0.78129999999999999</v>
      </c>
      <c r="D1061" s="34">
        <v>274.79160000000002</v>
      </c>
      <c r="E1061" s="34">
        <v>214.99343999999999</v>
      </c>
      <c r="F1061" s="34">
        <v>0</v>
      </c>
      <c r="G1061" s="5">
        <f t="shared" si="16"/>
        <v>0.76414333333333329</v>
      </c>
    </row>
    <row r="1062" spans="1:7" x14ac:dyDescent="0.3">
      <c r="A1062" s="33">
        <v>46003.572569444441</v>
      </c>
      <c r="B1062" s="34">
        <v>10610</v>
      </c>
      <c r="C1062" s="34">
        <v>0.77880000000000005</v>
      </c>
      <c r="D1062" s="34">
        <v>274.21660000000003</v>
      </c>
      <c r="E1062" s="34">
        <v>213.74347</v>
      </c>
      <c r="F1062" s="34">
        <v>0</v>
      </c>
      <c r="G1062" s="5">
        <f t="shared" si="16"/>
        <v>0.76251138888888892</v>
      </c>
    </row>
    <row r="1063" spans="1:7" x14ac:dyDescent="0.3">
      <c r="A1063" s="33">
        <v>46003.572685185187</v>
      </c>
      <c r="B1063" s="34">
        <v>10620</v>
      </c>
      <c r="C1063" s="34">
        <v>0.77880000000000005</v>
      </c>
      <c r="D1063" s="34">
        <v>273.66660000000002</v>
      </c>
      <c r="E1063" s="34">
        <v>213.11850000000001</v>
      </c>
      <c r="F1063" s="34">
        <v>0</v>
      </c>
      <c r="G1063" s="5">
        <f t="shared" si="16"/>
        <v>0.7609488888888889</v>
      </c>
    </row>
    <row r="1064" spans="1:7" x14ac:dyDescent="0.3">
      <c r="A1064" s="33">
        <v>46003.572800925926</v>
      </c>
      <c r="B1064" s="34">
        <v>10630</v>
      </c>
      <c r="C1064" s="34">
        <v>0.77629999999999999</v>
      </c>
      <c r="D1064" s="34">
        <v>273.16669999999999</v>
      </c>
      <c r="E1064" s="34">
        <v>211.86852999999999</v>
      </c>
      <c r="F1064" s="34">
        <v>0</v>
      </c>
      <c r="G1064" s="5">
        <f t="shared" si="16"/>
        <v>0.7594906944444445</v>
      </c>
    </row>
    <row r="1065" spans="1:7" x14ac:dyDescent="0.3">
      <c r="A1065" s="33">
        <v>46003.572916666664</v>
      </c>
      <c r="B1065" s="34">
        <v>10640</v>
      </c>
      <c r="C1065" s="34">
        <v>0.77500000000000002</v>
      </c>
      <c r="D1065" s="34">
        <v>272.69170000000003</v>
      </c>
      <c r="E1065" s="34">
        <v>211.24356</v>
      </c>
      <c r="F1065" s="34">
        <v>0</v>
      </c>
      <c r="G1065" s="5">
        <f t="shared" si="16"/>
        <v>0.75813666666666679</v>
      </c>
    </row>
    <row r="1066" spans="1:7" x14ac:dyDescent="0.3">
      <c r="A1066" s="33">
        <v>46003.57303240741</v>
      </c>
      <c r="B1066" s="34">
        <v>10650</v>
      </c>
      <c r="C1066" s="34">
        <v>0.77380000000000004</v>
      </c>
      <c r="D1066" s="34">
        <v>272.24169999999998</v>
      </c>
      <c r="E1066" s="34">
        <v>210.61858000000001</v>
      </c>
      <c r="F1066" s="34">
        <v>0</v>
      </c>
      <c r="G1066" s="5">
        <f t="shared" si="16"/>
        <v>0.75685194444444448</v>
      </c>
    </row>
    <row r="1067" spans="1:7" x14ac:dyDescent="0.3">
      <c r="A1067" s="33">
        <v>46003.573148148149</v>
      </c>
      <c r="B1067" s="34">
        <v>10660</v>
      </c>
      <c r="C1067" s="34">
        <v>0.77129999999999999</v>
      </c>
      <c r="D1067" s="34">
        <v>271.76670000000001</v>
      </c>
      <c r="E1067" s="34">
        <v>209.99359000000001</v>
      </c>
      <c r="F1067" s="34">
        <v>0</v>
      </c>
      <c r="G1067" s="5">
        <f t="shared" si="16"/>
        <v>0.75556722222222217</v>
      </c>
    </row>
    <row r="1068" spans="1:7" x14ac:dyDescent="0.3">
      <c r="A1068" s="33">
        <v>46003.573263888888</v>
      </c>
      <c r="B1068" s="34">
        <v>10670</v>
      </c>
      <c r="C1068" s="34">
        <v>0.77129999999999999</v>
      </c>
      <c r="D1068" s="34">
        <v>271.3417</v>
      </c>
      <c r="E1068" s="34">
        <v>208.74361999999999</v>
      </c>
      <c r="F1068" s="34">
        <v>0</v>
      </c>
      <c r="G1068" s="5">
        <f t="shared" si="16"/>
        <v>0.75431722222222231</v>
      </c>
    </row>
    <row r="1069" spans="1:7" x14ac:dyDescent="0.3">
      <c r="A1069" s="33">
        <v>46003.573379629626</v>
      </c>
      <c r="B1069" s="34">
        <v>10680</v>
      </c>
      <c r="C1069" s="34">
        <v>0.76880000000000004</v>
      </c>
      <c r="D1069" s="34">
        <v>270.91669999999999</v>
      </c>
      <c r="E1069" s="34">
        <v>208.11865</v>
      </c>
      <c r="F1069" s="34">
        <v>0</v>
      </c>
      <c r="G1069" s="5">
        <f t="shared" si="16"/>
        <v>0.75313666666666657</v>
      </c>
    </row>
    <row r="1070" spans="1:7" x14ac:dyDescent="0.3">
      <c r="A1070" s="33">
        <v>46003.573495370372</v>
      </c>
      <c r="B1070" s="34">
        <v>10690</v>
      </c>
      <c r="C1070" s="34">
        <v>0.76880000000000004</v>
      </c>
      <c r="D1070" s="34">
        <v>270.49169999999998</v>
      </c>
      <c r="E1070" s="34">
        <v>208.11865</v>
      </c>
      <c r="F1070" s="34">
        <v>0</v>
      </c>
      <c r="G1070" s="5">
        <f t="shared" si="16"/>
        <v>0.75195611111111116</v>
      </c>
    </row>
    <row r="1071" spans="1:7" x14ac:dyDescent="0.3">
      <c r="A1071" s="33">
        <v>46003.573611111111</v>
      </c>
      <c r="B1071" s="34">
        <v>10700</v>
      </c>
      <c r="C1071" s="34">
        <v>0.76619999999999999</v>
      </c>
      <c r="D1071" s="34">
        <v>270.0917</v>
      </c>
      <c r="E1071" s="34">
        <v>206.86868000000001</v>
      </c>
      <c r="F1071" s="34">
        <v>0</v>
      </c>
      <c r="G1071" s="5">
        <f t="shared" si="16"/>
        <v>0.75081027777777776</v>
      </c>
    </row>
    <row r="1072" spans="1:7" x14ac:dyDescent="0.3">
      <c r="A1072" s="33">
        <v>46003.57372685185</v>
      </c>
      <c r="B1072" s="34">
        <v>10710</v>
      </c>
      <c r="C1072" s="34">
        <v>0.76500000000000001</v>
      </c>
      <c r="D1072" s="34">
        <v>269.66669999999999</v>
      </c>
      <c r="E1072" s="34">
        <v>206.24370999999999</v>
      </c>
      <c r="F1072" s="34">
        <v>0</v>
      </c>
      <c r="G1072" s="5">
        <f t="shared" si="16"/>
        <v>0.74966444444444436</v>
      </c>
    </row>
    <row r="1073" spans="1:7" x14ac:dyDescent="0.3">
      <c r="A1073" s="33">
        <v>46003.573842592596</v>
      </c>
      <c r="B1073" s="34">
        <v>10720</v>
      </c>
      <c r="C1073" s="34">
        <v>0.76370000000000005</v>
      </c>
      <c r="D1073" s="34">
        <v>269.29180000000002</v>
      </c>
      <c r="E1073" s="34">
        <v>205.61873</v>
      </c>
      <c r="F1073" s="34">
        <v>0</v>
      </c>
      <c r="G1073" s="5">
        <f t="shared" si="16"/>
        <v>0.74855347222222224</v>
      </c>
    </row>
    <row r="1074" spans="1:7" x14ac:dyDescent="0.3">
      <c r="A1074" s="33">
        <v>46003.573958333334</v>
      </c>
      <c r="B1074" s="34">
        <v>10730</v>
      </c>
      <c r="C1074" s="34">
        <v>0.76249999999999996</v>
      </c>
      <c r="D1074" s="34">
        <v>268.89179999999999</v>
      </c>
      <c r="E1074" s="34">
        <v>204.99374</v>
      </c>
      <c r="F1074" s="34">
        <v>0</v>
      </c>
      <c r="G1074" s="5">
        <f t="shared" si="16"/>
        <v>0.74747722222222235</v>
      </c>
    </row>
    <row r="1075" spans="1:7" x14ac:dyDescent="0.3">
      <c r="A1075" s="33">
        <v>46003.574074074073</v>
      </c>
      <c r="B1075" s="34">
        <v>10740</v>
      </c>
      <c r="C1075" s="34">
        <v>0.76119999999999999</v>
      </c>
      <c r="D1075" s="34">
        <v>268.46679999999998</v>
      </c>
      <c r="E1075" s="34">
        <v>204.36876000000001</v>
      </c>
      <c r="F1075" s="34">
        <v>0</v>
      </c>
      <c r="G1075" s="5">
        <f t="shared" si="16"/>
        <v>0.74633138888888895</v>
      </c>
    </row>
    <row r="1076" spans="1:7" x14ac:dyDescent="0.3">
      <c r="A1076" s="33">
        <v>46003.574189814812</v>
      </c>
      <c r="B1076" s="34">
        <v>10750</v>
      </c>
      <c r="C1076" s="34">
        <v>0.75870000000000004</v>
      </c>
      <c r="D1076" s="34">
        <v>268.04180000000002</v>
      </c>
      <c r="E1076" s="34">
        <v>203.74377000000001</v>
      </c>
      <c r="F1076" s="34">
        <v>0</v>
      </c>
      <c r="G1076" s="5">
        <f t="shared" si="16"/>
        <v>0.74515083333333332</v>
      </c>
    </row>
    <row r="1077" spans="1:7" x14ac:dyDescent="0.3">
      <c r="A1077" s="33">
        <v>46003.574305555558</v>
      </c>
      <c r="B1077" s="34">
        <v>10760</v>
      </c>
      <c r="C1077" s="34">
        <v>0.76119999999999999</v>
      </c>
      <c r="D1077" s="34">
        <v>267.6918</v>
      </c>
      <c r="E1077" s="34">
        <v>203.74377000000001</v>
      </c>
      <c r="F1077" s="34">
        <v>0</v>
      </c>
      <c r="G1077" s="5">
        <f t="shared" si="16"/>
        <v>0.74407444444444448</v>
      </c>
    </row>
    <row r="1078" spans="1:7" x14ac:dyDescent="0.3">
      <c r="A1078" s="33">
        <v>46003.574421296296</v>
      </c>
      <c r="B1078" s="34">
        <v>10770</v>
      </c>
      <c r="C1078" s="34">
        <v>0.75870000000000004</v>
      </c>
      <c r="D1078" s="34">
        <v>267.29180000000002</v>
      </c>
      <c r="E1078" s="34">
        <v>202.49382</v>
      </c>
      <c r="F1078" s="34">
        <v>0</v>
      </c>
      <c r="G1078" s="5">
        <f t="shared" si="16"/>
        <v>0.74303277777777788</v>
      </c>
    </row>
    <row r="1079" spans="1:7" x14ac:dyDescent="0.3">
      <c r="A1079" s="33">
        <v>46003.574537037035</v>
      </c>
      <c r="B1079" s="34">
        <v>10780</v>
      </c>
      <c r="C1079" s="34">
        <v>0.75870000000000004</v>
      </c>
      <c r="D1079" s="34">
        <v>266.89179999999999</v>
      </c>
      <c r="E1079" s="34">
        <v>202.49382</v>
      </c>
      <c r="F1079" s="34">
        <v>0</v>
      </c>
      <c r="G1079" s="5">
        <f t="shared" si="16"/>
        <v>0.74192166666666681</v>
      </c>
    </row>
    <row r="1080" spans="1:7" x14ac:dyDescent="0.3">
      <c r="A1080" s="33">
        <v>46003.574652777781</v>
      </c>
      <c r="B1080" s="34">
        <v>10790</v>
      </c>
      <c r="C1080" s="34">
        <v>0.75619999999999998</v>
      </c>
      <c r="D1080" s="34">
        <v>266.51679999999999</v>
      </c>
      <c r="E1080" s="34">
        <v>201.86884000000001</v>
      </c>
      <c r="F1080" s="34">
        <v>0</v>
      </c>
      <c r="G1080" s="5">
        <f t="shared" si="16"/>
        <v>0.74084527777777776</v>
      </c>
    </row>
    <row r="1081" spans="1:7" x14ac:dyDescent="0.3">
      <c r="A1081" s="33">
        <v>46003.57476851852</v>
      </c>
      <c r="B1081" s="34">
        <v>10800</v>
      </c>
      <c r="C1081" s="34">
        <v>0.755</v>
      </c>
      <c r="D1081" s="34">
        <v>266.14190000000002</v>
      </c>
      <c r="E1081" s="34">
        <v>200.61887999999999</v>
      </c>
      <c r="F1081" s="34">
        <v>0</v>
      </c>
      <c r="G1081" s="5">
        <f t="shared" si="16"/>
        <v>0.73980374999999998</v>
      </c>
    </row>
    <row r="1082" spans="1:7" x14ac:dyDescent="0.3">
      <c r="A1082" s="33">
        <v>46003.574884259258</v>
      </c>
      <c r="B1082" s="34">
        <v>10810</v>
      </c>
      <c r="C1082" s="34">
        <v>1.05</v>
      </c>
      <c r="D1082" s="34">
        <v>0</v>
      </c>
      <c r="E1082" s="34">
        <v>0</v>
      </c>
      <c r="F1082" s="34">
        <v>1</v>
      </c>
      <c r="G1082" s="5">
        <f t="shared" si="16"/>
        <v>0.36964152777777781</v>
      </c>
    </row>
    <row r="1083" spans="1:7" x14ac:dyDescent="0.3">
      <c r="A1083" s="33">
        <v>46003.574999999997</v>
      </c>
      <c r="B1083" s="34">
        <v>10820</v>
      </c>
      <c r="C1083" s="34">
        <v>1.0711999999999999</v>
      </c>
      <c r="D1083" s="34">
        <v>0</v>
      </c>
      <c r="E1083" s="34">
        <v>0</v>
      </c>
      <c r="F1083" s="34">
        <v>1</v>
      </c>
      <c r="G1083" s="5">
        <f t="shared" si="16"/>
        <v>0</v>
      </c>
    </row>
    <row r="1084" spans="1:7" x14ac:dyDescent="0.3">
      <c r="A1084" s="33">
        <v>46003.575115740743</v>
      </c>
      <c r="B1084" s="34">
        <v>10830</v>
      </c>
      <c r="C1084" s="34">
        <v>1.0811999999999999</v>
      </c>
      <c r="D1084" s="34">
        <v>0</v>
      </c>
      <c r="E1084" s="34">
        <v>0</v>
      </c>
      <c r="F1084" s="34">
        <v>1</v>
      </c>
      <c r="G1084" s="5">
        <f t="shared" si="16"/>
        <v>0</v>
      </c>
    </row>
    <row r="1085" spans="1:7" x14ac:dyDescent="0.3">
      <c r="A1085" s="33">
        <v>46003.575231481482</v>
      </c>
      <c r="B1085" s="34">
        <v>10840</v>
      </c>
      <c r="C1085" s="34">
        <v>1.0900000000000001</v>
      </c>
      <c r="D1085" s="34">
        <v>0</v>
      </c>
      <c r="E1085" s="34">
        <v>0</v>
      </c>
      <c r="F1085" s="34">
        <v>1</v>
      </c>
      <c r="G1085" s="5">
        <f t="shared" si="16"/>
        <v>0</v>
      </c>
    </row>
    <row r="1086" spans="1:7" x14ac:dyDescent="0.3">
      <c r="A1086" s="33">
        <v>46003.57534722222</v>
      </c>
      <c r="B1086" s="34">
        <v>10850</v>
      </c>
      <c r="C1086" s="34">
        <v>1.0974999999999999</v>
      </c>
      <c r="D1086" s="34">
        <v>0</v>
      </c>
      <c r="E1086" s="34">
        <v>0</v>
      </c>
      <c r="F1086" s="34">
        <v>1</v>
      </c>
      <c r="G1086" s="5">
        <f t="shared" si="16"/>
        <v>0</v>
      </c>
    </row>
    <row r="1087" spans="1:7" x14ac:dyDescent="0.3">
      <c r="A1087" s="33">
        <v>46003.575462962966</v>
      </c>
      <c r="B1087" s="34">
        <v>10860</v>
      </c>
      <c r="C1087" s="34">
        <v>1.1025</v>
      </c>
      <c r="D1087" s="34">
        <v>0</v>
      </c>
      <c r="E1087" s="34">
        <v>0</v>
      </c>
      <c r="F1087" s="34">
        <v>1</v>
      </c>
      <c r="G1087" s="5">
        <f t="shared" si="16"/>
        <v>0</v>
      </c>
    </row>
    <row r="1088" spans="1:7" x14ac:dyDescent="0.3">
      <c r="A1088" s="33">
        <v>46003.575578703705</v>
      </c>
      <c r="B1088" s="34">
        <v>10870</v>
      </c>
      <c r="C1088" s="34">
        <v>1.1074999999999999</v>
      </c>
      <c r="D1088" s="34">
        <v>0</v>
      </c>
      <c r="E1088" s="34">
        <v>0</v>
      </c>
      <c r="F1088" s="34">
        <v>1</v>
      </c>
      <c r="G1088" s="5">
        <f t="shared" si="16"/>
        <v>0</v>
      </c>
    </row>
    <row r="1089" spans="1:7" x14ac:dyDescent="0.3">
      <c r="A1089" s="33">
        <v>46003.575694444444</v>
      </c>
      <c r="B1089" s="34">
        <v>10880</v>
      </c>
      <c r="C1089" s="34">
        <v>1.1125</v>
      </c>
      <c r="D1089" s="34">
        <v>0</v>
      </c>
      <c r="E1089" s="34">
        <v>0</v>
      </c>
      <c r="F1089" s="34">
        <v>1</v>
      </c>
      <c r="G1089" s="5">
        <f t="shared" si="16"/>
        <v>0</v>
      </c>
    </row>
    <row r="1090" spans="1:7" x14ac:dyDescent="0.3">
      <c r="A1090" s="33">
        <v>46003.575810185182</v>
      </c>
      <c r="B1090" s="34">
        <v>10890</v>
      </c>
      <c r="C1090" s="34">
        <v>1.115</v>
      </c>
      <c r="D1090" s="34">
        <v>0</v>
      </c>
      <c r="E1090" s="34">
        <v>0</v>
      </c>
      <c r="F1090" s="34">
        <v>1</v>
      </c>
      <c r="G1090" s="5">
        <f t="shared" si="16"/>
        <v>0</v>
      </c>
    </row>
    <row r="1091" spans="1:7" x14ac:dyDescent="0.3">
      <c r="A1091" s="33">
        <v>46003.575925925928</v>
      </c>
      <c r="B1091" s="34">
        <v>10900</v>
      </c>
      <c r="C1091" s="34">
        <v>0.80620000000000003</v>
      </c>
      <c r="D1091" s="34">
        <v>283.41640000000001</v>
      </c>
      <c r="E1091" s="34">
        <v>228.11804000000001</v>
      </c>
      <c r="F1091" s="34">
        <v>0</v>
      </c>
      <c r="G1091" s="5">
        <f t="shared" si="16"/>
        <v>0.39363388888888889</v>
      </c>
    </row>
    <row r="1092" spans="1:7" x14ac:dyDescent="0.3">
      <c r="A1092" s="33">
        <v>46003.576041666667</v>
      </c>
      <c r="B1092" s="34">
        <v>10910</v>
      </c>
      <c r="C1092" s="34">
        <v>0.79</v>
      </c>
      <c r="D1092" s="34">
        <v>277.81650000000002</v>
      </c>
      <c r="E1092" s="34">
        <v>219.3683</v>
      </c>
      <c r="F1092" s="34">
        <v>0</v>
      </c>
      <c r="G1092" s="5">
        <f t="shared" si="16"/>
        <v>0.77949013888888885</v>
      </c>
    </row>
    <row r="1093" spans="1:7" x14ac:dyDescent="0.3">
      <c r="A1093" s="33">
        <v>46003.576157407406</v>
      </c>
      <c r="B1093" s="34">
        <v>10920</v>
      </c>
      <c r="C1093" s="34">
        <v>0.78129999999999999</v>
      </c>
      <c r="D1093" s="34">
        <v>275.11660000000001</v>
      </c>
      <c r="E1093" s="34">
        <v>214.99343999999999</v>
      </c>
      <c r="F1093" s="34">
        <v>0</v>
      </c>
      <c r="G1093" s="5">
        <f t="shared" si="16"/>
        <v>0.76796263888888883</v>
      </c>
    </row>
    <row r="1094" spans="1:7" x14ac:dyDescent="0.3">
      <c r="A1094" s="33">
        <v>46003.576273148145</v>
      </c>
      <c r="B1094" s="34">
        <v>10930</v>
      </c>
      <c r="C1094" s="34">
        <v>0.77629999999999999</v>
      </c>
      <c r="D1094" s="34">
        <v>273.26670000000001</v>
      </c>
      <c r="E1094" s="34">
        <v>211.86852999999999</v>
      </c>
      <c r="F1094" s="34">
        <v>0</v>
      </c>
      <c r="G1094" s="5">
        <f t="shared" si="16"/>
        <v>0.76164347222222217</v>
      </c>
    </row>
    <row r="1095" spans="1:7" x14ac:dyDescent="0.3">
      <c r="A1095" s="33">
        <v>46003.576388888891</v>
      </c>
      <c r="B1095" s="34">
        <v>10940</v>
      </c>
      <c r="C1095" s="34">
        <v>0.77129999999999999</v>
      </c>
      <c r="D1095" s="34">
        <v>271.86669999999998</v>
      </c>
      <c r="E1095" s="34">
        <v>209.99359000000001</v>
      </c>
      <c r="F1095" s="34">
        <v>0</v>
      </c>
      <c r="G1095" s="5">
        <f t="shared" ref="G1095:G1158" si="17">($B$2/3600)*((D1094+D1095)/2)</f>
        <v>0.75712972222222219</v>
      </c>
    </row>
    <row r="1096" spans="1:7" x14ac:dyDescent="0.3">
      <c r="A1096" s="33">
        <v>46003.576504629629</v>
      </c>
      <c r="B1096" s="34">
        <v>10950</v>
      </c>
      <c r="C1096" s="34">
        <v>0.76880000000000004</v>
      </c>
      <c r="D1096" s="34">
        <v>270.76670000000001</v>
      </c>
      <c r="E1096" s="34">
        <v>208.11865</v>
      </c>
      <c r="F1096" s="34">
        <v>0</v>
      </c>
      <c r="G1096" s="5">
        <f t="shared" si="17"/>
        <v>0.75365749999999998</v>
      </c>
    </row>
    <row r="1097" spans="1:7" x14ac:dyDescent="0.3">
      <c r="A1097" s="33">
        <v>46003.576620370368</v>
      </c>
      <c r="B1097" s="34">
        <v>10960</v>
      </c>
      <c r="C1097" s="34">
        <v>0.76500000000000001</v>
      </c>
      <c r="D1097" s="34">
        <v>269.86680000000001</v>
      </c>
      <c r="E1097" s="34">
        <v>206.24370999999999</v>
      </c>
      <c r="F1097" s="34">
        <v>0</v>
      </c>
      <c r="G1097" s="5">
        <f t="shared" si="17"/>
        <v>0.75087986111111116</v>
      </c>
    </row>
    <row r="1098" spans="1:7" x14ac:dyDescent="0.3">
      <c r="A1098" s="33">
        <v>46003.576736111114</v>
      </c>
      <c r="B1098" s="34">
        <v>10970</v>
      </c>
      <c r="C1098" s="34">
        <v>0.76249999999999996</v>
      </c>
      <c r="D1098" s="34">
        <v>269.04180000000002</v>
      </c>
      <c r="E1098" s="34">
        <v>204.99374</v>
      </c>
      <c r="F1098" s="34">
        <v>0</v>
      </c>
      <c r="G1098" s="5">
        <f t="shared" si="17"/>
        <v>0.74848416666666662</v>
      </c>
    </row>
    <row r="1099" spans="1:7" x14ac:dyDescent="0.3">
      <c r="A1099" s="33">
        <v>46003.576851851853</v>
      </c>
      <c r="B1099" s="34">
        <v>10980</v>
      </c>
      <c r="C1099" s="34">
        <v>0.75870000000000004</v>
      </c>
      <c r="D1099" s="34">
        <v>268.34179999999998</v>
      </c>
      <c r="E1099" s="34">
        <v>203.74377000000001</v>
      </c>
      <c r="F1099" s="34">
        <v>0</v>
      </c>
      <c r="G1099" s="5">
        <f t="shared" si="17"/>
        <v>0.74636611111111117</v>
      </c>
    </row>
    <row r="1100" spans="1:7" x14ac:dyDescent="0.3">
      <c r="A1100" s="33">
        <v>46003.576967592591</v>
      </c>
      <c r="B1100" s="34">
        <v>10990</v>
      </c>
      <c r="C1100" s="34">
        <v>0.75870000000000004</v>
      </c>
      <c r="D1100" s="34">
        <v>267.64179999999999</v>
      </c>
      <c r="E1100" s="34">
        <v>203.11879999999999</v>
      </c>
      <c r="F1100" s="34">
        <v>0</v>
      </c>
      <c r="G1100" s="5">
        <f t="shared" si="17"/>
        <v>0.74442166666666676</v>
      </c>
    </row>
    <row r="1101" spans="1:7" x14ac:dyDescent="0.3">
      <c r="A1101" s="33">
        <v>46003.57708333333</v>
      </c>
      <c r="B1101" s="34">
        <v>11000</v>
      </c>
      <c r="C1101" s="34">
        <v>0.75870000000000004</v>
      </c>
      <c r="D1101" s="34">
        <v>267.01679999999999</v>
      </c>
      <c r="E1101" s="34">
        <v>202.49382</v>
      </c>
      <c r="F1101" s="34">
        <v>0</v>
      </c>
      <c r="G1101" s="5">
        <f t="shared" si="17"/>
        <v>0.74258138888888892</v>
      </c>
    </row>
    <row r="1102" spans="1:7" x14ac:dyDescent="0.3">
      <c r="A1102" s="33">
        <v>46003.577199074076</v>
      </c>
      <c r="B1102" s="34">
        <v>11010</v>
      </c>
      <c r="C1102" s="34">
        <v>0.75619999999999998</v>
      </c>
      <c r="D1102" s="34">
        <v>266.4169</v>
      </c>
      <c r="E1102" s="34">
        <v>201.24386999999999</v>
      </c>
      <c r="F1102" s="34">
        <v>0</v>
      </c>
      <c r="G1102" s="5">
        <f t="shared" si="17"/>
        <v>0.74088013888888893</v>
      </c>
    </row>
    <row r="1103" spans="1:7" x14ac:dyDescent="0.3">
      <c r="A1103" s="33">
        <v>46003.577314814815</v>
      </c>
      <c r="B1103" s="34">
        <v>11020</v>
      </c>
      <c r="C1103" s="34">
        <v>0.75370000000000004</v>
      </c>
      <c r="D1103" s="34">
        <v>265.86689999999999</v>
      </c>
      <c r="E1103" s="34">
        <v>200.61887999999999</v>
      </c>
      <c r="F1103" s="34">
        <v>0</v>
      </c>
      <c r="G1103" s="5">
        <f t="shared" si="17"/>
        <v>0.73928305555555551</v>
      </c>
    </row>
    <row r="1104" spans="1:7" x14ac:dyDescent="0.3">
      <c r="A1104" s="33">
        <v>46003.577430555553</v>
      </c>
      <c r="B1104" s="34">
        <v>11030</v>
      </c>
      <c r="C1104" s="34">
        <v>0.75249999999999995</v>
      </c>
      <c r="D1104" s="34">
        <v>265.34190000000001</v>
      </c>
      <c r="E1104" s="34">
        <v>199.36891</v>
      </c>
      <c r="F1104" s="34">
        <v>0</v>
      </c>
      <c r="G1104" s="5">
        <f t="shared" si="17"/>
        <v>0.73779000000000006</v>
      </c>
    </row>
    <row r="1105" spans="1:7" x14ac:dyDescent="0.3">
      <c r="A1105" s="33">
        <v>46003.577546296299</v>
      </c>
      <c r="B1105" s="34">
        <v>11040</v>
      </c>
      <c r="C1105" s="34">
        <v>0.75119999999999998</v>
      </c>
      <c r="D1105" s="34">
        <v>264.7919</v>
      </c>
      <c r="E1105" s="34">
        <v>198.74393000000001</v>
      </c>
      <c r="F1105" s="34">
        <v>0</v>
      </c>
      <c r="G1105" s="5">
        <f t="shared" si="17"/>
        <v>0.7362969444444446</v>
      </c>
    </row>
    <row r="1106" spans="1:7" x14ac:dyDescent="0.3">
      <c r="A1106" s="33">
        <v>46003.577662037038</v>
      </c>
      <c r="B1106" s="34">
        <v>11050</v>
      </c>
      <c r="C1106" s="34">
        <v>0.75</v>
      </c>
      <c r="D1106" s="34">
        <v>264.31689999999998</v>
      </c>
      <c r="E1106" s="34">
        <v>198.11895999999999</v>
      </c>
      <c r="F1106" s="34">
        <v>0</v>
      </c>
      <c r="G1106" s="5">
        <f t="shared" si="17"/>
        <v>0.73487333333333338</v>
      </c>
    </row>
    <row r="1107" spans="1:7" x14ac:dyDescent="0.3">
      <c r="A1107" s="33">
        <v>46003.577777777777</v>
      </c>
      <c r="B1107" s="34">
        <v>11060</v>
      </c>
      <c r="C1107" s="34">
        <v>0.74870000000000003</v>
      </c>
      <c r="D1107" s="34">
        <v>263.81689999999998</v>
      </c>
      <c r="E1107" s="34">
        <v>197.49396999999999</v>
      </c>
      <c r="F1107" s="34">
        <v>0</v>
      </c>
      <c r="G1107" s="5">
        <f t="shared" si="17"/>
        <v>0.73351916666666661</v>
      </c>
    </row>
    <row r="1108" spans="1:7" x14ac:dyDescent="0.3">
      <c r="A1108" s="33">
        <v>46003.577893518515</v>
      </c>
      <c r="B1108" s="34">
        <v>11070</v>
      </c>
      <c r="C1108" s="34">
        <v>0.74619999999999997</v>
      </c>
      <c r="D1108" s="34">
        <v>263.34190000000001</v>
      </c>
      <c r="E1108" s="34">
        <v>196.86899</v>
      </c>
      <c r="F1108" s="34">
        <v>0</v>
      </c>
      <c r="G1108" s="5">
        <f t="shared" si="17"/>
        <v>0.73216499999999995</v>
      </c>
    </row>
    <row r="1109" spans="1:7" x14ac:dyDescent="0.3">
      <c r="A1109" s="33">
        <v>46003.578009259261</v>
      </c>
      <c r="B1109" s="34">
        <v>11080</v>
      </c>
      <c r="C1109" s="34">
        <v>0.745</v>
      </c>
      <c r="D1109" s="34">
        <v>262.892</v>
      </c>
      <c r="E1109" s="34">
        <v>195.61903000000001</v>
      </c>
      <c r="F1109" s="34">
        <v>0</v>
      </c>
      <c r="G1109" s="5">
        <f t="shared" si="17"/>
        <v>0.73088041666666659</v>
      </c>
    </row>
    <row r="1110" spans="1:7" x14ac:dyDescent="0.3">
      <c r="A1110" s="33">
        <v>46003.578125</v>
      </c>
      <c r="B1110" s="34">
        <v>11090</v>
      </c>
      <c r="C1110" s="34">
        <v>0.74370000000000003</v>
      </c>
      <c r="D1110" s="34">
        <v>262.44200000000001</v>
      </c>
      <c r="E1110" s="34">
        <v>194.99404999999999</v>
      </c>
      <c r="F1110" s="34">
        <v>0</v>
      </c>
      <c r="G1110" s="5">
        <f t="shared" si="17"/>
        <v>0.72963055555555567</v>
      </c>
    </row>
    <row r="1111" spans="1:7" x14ac:dyDescent="0.3">
      <c r="A1111" s="33">
        <v>46003.578240740739</v>
      </c>
      <c r="B1111" s="34">
        <v>11100</v>
      </c>
      <c r="C1111" s="34">
        <v>0.74119999999999997</v>
      </c>
      <c r="D1111" s="34">
        <v>261.99200000000002</v>
      </c>
      <c r="E1111" s="34">
        <v>194.36905999999999</v>
      </c>
      <c r="F1111" s="34">
        <v>0</v>
      </c>
      <c r="G1111" s="5">
        <f t="shared" si="17"/>
        <v>0.72838055555555559</v>
      </c>
    </row>
    <row r="1112" spans="1:7" x14ac:dyDescent="0.3">
      <c r="A1112" s="33">
        <v>46003.578356481485</v>
      </c>
      <c r="B1112" s="34">
        <v>11110</v>
      </c>
      <c r="C1112" s="34">
        <v>0.74</v>
      </c>
      <c r="D1112" s="34">
        <v>261.54199999999997</v>
      </c>
      <c r="E1112" s="34">
        <v>193.74408</v>
      </c>
      <c r="F1112" s="34">
        <v>0</v>
      </c>
      <c r="G1112" s="5">
        <f t="shared" si="17"/>
        <v>0.72713055555555561</v>
      </c>
    </row>
    <row r="1113" spans="1:7" x14ac:dyDescent="0.3">
      <c r="A1113" s="33">
        <v>46003.578472222223</v>
      </c>
      <c r="B1113" s="34">
        <v>11120</v>
      </c>
      <c r="C1113" s="34">
        <v>0.73750000000000004</v>
      </c>
      <c r="D1113" s="34">
        <v>261.11700000000002</v>
      </c>
      <c r="E1113" s="34">
        <v>192.49413000000001</v>
      </c>
      <c r="F1113" s="34">
        <v>0</v>
      </c>
      <c r="G1113" s="5">
        <f t="shared" si="17"/>
        <v>0.72591527777777776</v>
      </c>
    </row>
    <row r="1114" spans="1:7" x14ac:dyDescent="0.3">
      <c r="A1114" s="33">
        <v>46003.578587962962</v>
      </c>
      <c r="B1114" s="34">
        <v>11130</v>
      </c>
      <c r="C1114" s="34">
        <v>0.73870000000000002</v>
      </c>
      <c r="D1114" s="34">
        <v>260.642</v>
      </c>
      <c r="E1114" s="34">
        <v>192.49413000000001</v>
      </c>
      <c r="F1114" s="34">
        <v>0</v>
      </c>
      <c r="G1114" s="5">
        <f t="shared" si="17"/>
        <v>0.72466527777777778</v>
      </c>
    </row>
    <row r="1115" spans="1:7" x14ac:dyDescent="0.3">
      <c r="A1115" s="33">
        <v>46003.578703703701</v>
      </c>
      <c r="B1115" s="34">
        <v>11140</v>
      </c>
      <c r="C1115" s="34">
        <v>0.73750000000000004</v>
      </c>
      <c r="D1115" s="34">
        <v>260.24200000000002</v>
      </c>
      <c r="E1115" s="34">
        <v>191.24417</v>
      </c>
      <c r="F1115" s="34">
        <v>0</v>
      </c>
      <c r="G1115" s="5">
        <f t="shared" si="17"/>
        <v>0.72345000000000004</v>
      </c>
    </row>
    <row r="1116" spans="1:7" x14ac:dyDescent="0.3">
      <c r="A1116" s="33">
        <v>46003.578819444447</v>
      </c>
      <c r="B1116" s="34">
        <v>11150</v>
      </c>
      <c r="C1116" s="34">
        <v>0.73499999999999999</v>
      </c>
      <c r="D1116" s="34">
        <v>259.84210000000002</v>
      </c>
      <c r="E1116" s="34">
        <v>190.61919</v>
      </c>
      <c r="F1116" s="34">
        <v>0</v>
      </c>
      <c r="G1116" s="5">
        <f t="shared" si="17"/>
        <v>0.72233902777777781</v>
      </c>
    </row>
    <row r="1117" spans="1:7" x14ac:dyDescent="0.3">
      <c r="A1117" s="33">
        <v>46003.578935185185</v>
      </c>
      <c r="B1117" s="34">
        <v>11160</v>
      </c>
      <c r="C1117" s="34">
        <v>0.73499999999999999</v>
      </c>
      <c r="D1117" s="34">
        <v>259.39210000000003</v>
      </c>
      <c r="E1117" s="34">
        <v>190.61919</v>
      </c>
      <c r="F1117" s="34">
        <v>0</v>
      </c>
      <c r="G1117" s="5">
        <f t="shared" si="17"/>
        <v>0.72115861111111124</v>
      </c>
    </row>
    <row r="1118" spans="1:7" x14ac:dyDescent="0.3">
      <c r="A1118" s="33">
        <v>46003.579050925924</v>
      </c>
      <c r="B1118" s="34">
        <v>11170</v>
      </c>
      <c r="C1118" s="34">
        <v>0.73250000000000004</v>
      </c>
      <c r="D1118" s="34">
        <v>258.96710000000002</v>
      </c>
      <c r="E1118" s="34">
        <v>189.36922000000001</v>
      </c>
      <c r="F1118" s="34">
        <v>0</v>
      </c>
      <c r="G1118" s="5">
        <f t="shared" si="17"/>
        <v>0.71994333333333349</v>
      </c>
    </row>
    <row r="1119" spans="1:7" x14ac:dyDescent="0.3">
      <c r="A1119" s="33">
        <v>46003.57916666667</v>
      </c>
      <c r="B1119" s="34">
        <v>11180</v>
      </c>
      <c r="C1119" s="34">
        <v>0.73119999999999996</v>
      </c>
      <c r="D1119" s="34">
        <v>258.5421</v>
      </c>
      <c r="E1119" s="34">
        <v>188.74422999999999</v>
      </c>
      <c r="F1119" s="34">
        <v>0</v>
      </c>
      <c r="G1119" s="5">
        <f t="shared" si="17"/>
        <v>0.71876277777777775</v>
      </c>
    </row>
    <row r="1120" spans="1:7" x14ac:dyDescent="0.3">
      <c r="A1120" s="33">
        <v>46003.579282407409</v>
      </c>
      <c r="B1120" s="34">
        <v>11190</v>
      </c>
      <c r="C1120" s="34">
        <v>0.73</v>
      </c>
      <c r="D1120" s="34">
        <v>258.11709999999999</v>
      </c>
      <c r="E1120" s="34">
        <v>188.11926</v>
      </c>
      <c r="F1120" s="34">
        <v>0</v>
      </c>
      <c r="G1120" s="5">
        <f t="shared" si="17"/>
        <v>0.71758222222222234</v>
      </c>
    </row>
    <row r="1121" spans="1:7" x14ac:dyDescent="0.3">
      <c r="A1121" s="33">
        <v>46003.579398148147</v>
      </c>
      <c r="B1121" s="34">
        <v>11200</v>
      </c>
      <c r="C1121" s="34">
        <v>1.0325</v>
      </c>
      <c r="D1121" s="34">
        <v>2.5000000000000001E-2</v>
      </c>
      <c r="E1121" s="34">
        <v>0</v>
      </c>
      <c r="F1121" s="34">
        <v>1</v>
      </c>
      <c r="G1121" s="5">
        <f t="shared" si="17"/>
        <v>0.35853069444444441</v>
      </c>
    </row>
    <row r="1122" spans="1:7" x14ac:dyDescent="0.3">
      <c r="A1122" s="33">
        <v>46003.579513888886</v>
      </c>
      <c r="B1122" s="34">
        <v>11210</v>
      </c>
      <c r="C1122" s="34">
        <v>1.0562</v>
      </c>
      <c r="D1122" s="34">
        <v>0</v>
      </c>
      <c r="E1122" s="34">
        <v>0</v>
      </c>
      <c r="F1122" s="34">
        <v>1</v>
      </c>
      <c r="G1122" s="5">
        <f t="shared" si="17"/>
        <v>3.4722222222222222E-5</v>
      </c>
    </row>
    <row r="1123" spans="1:7" x14ac:dyDescent="0.3">
      <c r="A1123" s="33">
        <v>46003.579629629632</v>
      </c>
      <c r="B1123" s="34">
        <v>11220</v>
      </c>
      <c r="C1123" s="34">
        <v>1.07</v>
      </c>
      <c r="D1123" s="34">
        <v>0</v>
      </c>
      <c r="E1123" s="34">
        <v>0</v>
      </c>
      <c r="F1123" s="34">
        <v>1</v>
      </c>
      <c r="G1123" s="5">
        <f t="shared" si="17"/>
        <v>0</v>
      </c>
    </row>
    <row r="1124" spans="1:7" x14ac:dyDescent="0.3">
      <c r="A1124" s="33">
        <v>46003.579745370371</v>
      </c>
      <c r="B1124" s="34">
        <v>11230</v>
      </c>
      <c r="C1124" s="34">
        <v>1.08</v>
      </c>
      <c r="D1124" s="34">
        <v>0</v>
      </c>
      <c r="E1124" s="34">
        <v>0</v>
      </c>
      <c r="F1124" s="34">
        <v>1</v>
      </c>
      <c r="G1124" s="5">
        <f t="shared" si="17"/>
        <v>0</v>
      </c>
    </row>
    <row r="1125" spans="1:7" x14ac:dyDescent="0.3">
      <c r="A1125" s="33">
        <v>46003.579861111109</v>
      </c>
      <c r="B1125" s="34">
        <v>11240</v>
      </c>
      <c r="C1125" s="34">
        <v>1.085</v>
      </c>
      <c r="D1125" s="34">
        <v>0</v>
      </c>
      <c r="E1125" s="34">
        <v>0</v>
      </c>
      <c r="F1125" s="34">
        <v>1</v>
      </c>
      <c r="G1125" s="5">
        <f t="shared" si="17"/>
        <v>0</v>
      </c>
    </row>
    <row r="1126" spans="1:7" x14ac:dyDescent="0.3">
      <c r="A1126" s="33">
        <v>46003.579976851855</v>
      </c>
      <c r="B1126" s="34">
        <v>11250</v>
      </c>
      <c r="C1126" s="34">
        <v>1.0900000000000001</v>
      </c>
      <c r="D1126" s="34">
        <v>0</v>
      </c>
      <c r="E1126" s="34">
        <v>0</v>
      </c>
      <c r="F1126" s="34">
        <v>1</v>
      </c>
      <c r="G1126" s="5">
        <f t="shared" si="17"/>
        <v>0</v>
      </c>
    </row>
    <row r="1127" spans="1:7" x14ac:dyDescent="0.3">
      <c r="A1127" s="33">
        <v>46003.580104166664</v>
      </c>
      <c r="B1127" s="34">
        <v>11260</v>
      </c>
      <c r="C1127" s="34">
        <v>1.095</v>
      </c>
      <c r="D1127" s="34">
        <v>0</v>
      </c>
      <c r="E1127" s="34">
        <v>0</v>
      </c>
      <c r="F1127" s="34">
        <v>1</v>
      </c>
      <c r="G1127" s="5">
        <f t="shared" si="17"/>
        <v>0</v>
      </c>
    </row>
    <row r="1128" spans="1:7" x14ac:dyDescent="0.3">
      <c r="A1128" s="33">
        <v>46003.58021990741</v>
      </c>
      <c r="B1128" s="34">
        <v>11270</v>
      </c>
      <c r="C1128" s="34">
        <v>1.0987</v>
      </c>
      <c r="D1128" s="34">
        <v>0</v>
      </c>
      <c r="E1128" s="34">
        <v>0</v>
      </c>
      <c r="F1128" s="34">
        <v>1</v>
      </c>
      <c r="G1128" s="5">
        <f t="shared" si="17"/>
        <v>0</v>
      </c>
    </row>
    <row r="1129" spans="1:7" x14ac:dyDescent="0.3">
      <c r="A1129" s="33">
        <v>46003.580335648148</v>
      </c>
      <c r="B1129" s="34">
        <v>11280</v>
      </c>
      <c r="C1129" s="34">
        <v>1.1036999999999999</v>
      </c>
      <c r="D1129" s="34">
        <v>0</v>
      </c>
      <c r="E1129" s="34">
        <v>0</v>
      </c>
      <c r="F1129" s="34">
        <v>1</v>
      </c>
      <c r="G1129" s="5">
        <f t="shared" si="17"/>
        <v>0</v>
      </c>
    </row>
    <row r="1130" spans="1:7" x14ac:dyDescent="0.3">
      <c r="A1130" s="33">
        <v>46003.580451388887</v>
      </c>
      <c r="B1130" s="34">
        <v>11290</v>
      </c>
      <c r="C1130" s="34">
        <v>0.78869999999999996</v>
      </c>
      <c r="D1130" s="34">
        <v>277.31650000000002</v>
      </c>
      <c r="E1130" s="34">
        <v>218.74332000000001</v>
      </c>
      <c r="F1130" s="34">
        <v>0</v>
      </c>
      <c r="G1130" s="5">
        <f t="shared" si="17"/>
        <v>0.38516180555555557</v>
      </c>
    </row>
    <row r="1131" spans="1:7" x14ac:dyDescent="0.3">
      <c r="A1131" s="33">
        <v>46003.580567129633</v>
      </c>
      <c r="B1131" s="34">
        <v>11300</v>
      </c>
      <c r="C1131" s="34">
        <v>0.76880000000000004</v>
      </c>
      <c r="D1131" s="34">
        <v>270.86669999999998</v>
      </c>
      <c r="E1131" s="34">
        <v>208.11865</v>
      </c>
      <c r="F1131" s="34">
        <v>0</v>
      </c>
      <c r="G1131" s="5">
        <f t="shared" si="17"/>
        <v>0.76136555555555552</v>
      </c>
    </row>
    <row r="1132" spans="1:7" x14ac:dyDescent="0.3">
      <c r="A1132" s="33">
        <v>46003.580682870372</v>
      </c>
      <c r="B1132" s="34">
        <v>11310</v>
      </c>
      <c r="C1132" s="34">
        <v>0.75870000000000004</v>
      </c>
      <c r="D1132" s="34">
        <v>267.84179999999998</v>
      </c>
      <c r="E1132" s="34">
        <v>202.49382</v>
      </c>
      <c r="F1132" s="34">
        <v>0</v>
      </c>
      <c r="G1132" s="5">
        <f t="shared" si="17"/>
        <v>0.74820624999999996</v>
      </c>
    </row>
    <row r="1133" spans="1:7" x14ac:dyDescent="0.3">
      <c r="A1133" s="33">
        <v>46003.58079861111</v>
      </c>
      <c r="B1133" s="34">
        <v>11320</v>
      </c>
      <c r="C1133" s="34">
        <v>0.75370000000000004</v>
      </c>
      <c r="D1133" s="34">
        <v>265.76690000000002</v>
      </c>
      <c r="E1133" s="34">
        <v>200.61887999999999</v>
      </c>
      <c r="F1133" s="34">
        <v>0</v>
      </c>
      <c r="G1133" s="5">
        <f t="shared" si="17"/>
        <v>0.74112319444444452</v>
      </c>
    </row>
    <row r="1134" spans="1:7" x14ac:dyDescent="0.3">
      <c r="A1134" s="33">
        <v>46003.580914351849</v>
      </c>
      <c r="B1134" s="34">
        <v>11330</v>
      </c>
      <c r="C1134" s="34">
        <v>0.74870000000000003</v>
      </c>
      <c r="D1134" s="34">
        <v>264.19189999999998</v>
      </c>
      <c r="E1134" s="34">
        <v>197.49396999999999</v>
      </c>
      <c r="F1134" s="34">
        <v>0</v>
      </c>
      <c r="G1134" s="5">
        <f t="shared" si="17"/>
        <v>0.7360538888888889</v>
      </c>
    </row>
    <row r="1135" spans="1:7" x14ac:dyDescent="0.3">
      <c r="A1135" s="33">
        <v>46003.581030092595</v>
      </c>
      <c r="B1135" s="34">
        <v>11340</v>
      </c>
      <c r="C1135" s="34">
        <v>0.74370000000000003</v>
      </c>
      <c r="D1135" s="34">
        <v>262.91699999999997</v>
      </c>
      <c r="E1135" s="34">
        <v>195.61903000000001</v>
      </c>
      <c r="F1135" s="34">
        <v>0</v>
      </c>
      <c r="G1135" s="5">
        <f t="shared" si="17"/>
        <v>0.73209569444444444</v>
      </c>
    </row>
    <row r="1136" spans="1:7" x14ac:dyDescent="0.3">
      <c r="A1136" s="33">
        <v>46003.581145833334</v>
      </c>
      <c r="B1136" s="34">
        <v>11350</v>
      </c>
      <c r="C1136" s="34">
        <v>0.74</v>
      </c>
      <c r="D1136" s="34">
        <v>261.84199999999998</v>
      </c>
      <c r="E1136" s="34">
        <v>193.74408</v>
      </c>
      <c r="F1136" s="34">
        <v>0</v>
      </c>
      <c r="G1136" s="5">
        <f t="shared" si="17"/>
        <v>0.72883194444444455</v>
      </c>
    </row>
    <row r="1137" spans="1:7" x14ac:dyDescent="0.3">
      <c r="A1137" s="33">
        <v>46003.581261574072</v>
      </c>
      <c r="B1137" s="34">
        <v>11360</v>
      </c>
      <c r="C1137" s="34">
        <v>0.73870000000000002</v>
      </c>
      <c r="D1137" s="34">
        <v>260.94200000000001</v>
      </c>
      <c r="E1137" s="34">
        <v>192.49413000000001</v>
      </c>
      <c r="F1137" s="34">
        <v>0</v>
      </c>
      <c r="G1137" s="5">
        <f t="shared" si="17"/>
        <v>0.72608888888888889</v>
      </c>
    </row>
    <row r="1138" spans="1:7" x14ac:dyDescent="0.3">
      <c r="A1138" s="33">
        <v>46003.581377314818</v>
      </c>
      <c r="B1138" s="34">
        <v>11370</v>
      </c>
      <c r="C1138" s="34">
        <v>0.73619999999999997</v>
      </c>
      <c r="D1138" s="34">
        <v>260.09199999999998</v>
      </c>
      <c r="E1138" s="34">
        <v>191.24417</v>
      </c>
      <c r="F1138" s="34">
        <v>0</v>
      </c>
      <c r="G1138" s="5">
        <f t="shared" si="17"/>
        <v>0.7236583333333334</v>
      </c>
    </row>
    <row r="1139" spans="1:7" x14ac:dyDescent="0.3">
      <c r="A1139" s="33">
        <v>46003.581493055557</v>
      </c>
      <c r="B1139" s="34">
        <v>11380</v>
      </c>
      <c r="C1139" s="34">
        <v>0.73370000000000002</v>
      </c>
      <c r="D1139" s="34">
        <v>259.36709999999999</v>
      </c>
      <c r="E1139" s="34">
        <v>190.61919</v>
      </c>
      <c r="F1139" s="34">
        <v>0</v>
      </c>
      <c r="G1139" s="5">
        <f t="shared" si="17"/>
        <v>0.72147097222222234</v>
      </c>
    </row>
    <row r="1140" spans="1:7" x14ac:dyDescent="0.3">
      <c r="A1140" s="33">
        <v>46003.581608796296</v>
      </c>
      <c r="B1140" s="34">
        <v>11390</v>
      </c>
      <c r="C1140" s="34">
        <v>0.73119999999999996</v>
      </c>
      <c r="D1140" s="34">
        <v>258.64210000000003</v>
      </c>
      <c r="E1140" s="34">
        <v>188.74422999999999</v>
      </c>
      <c r="F1140" s="34">
        <v>0</v>
      </c>
      <c r="G1140" s="5">
        <f t="shared" si="17"/>
        <v>0.71945722222222219</v>
      </c>
    </row>
    <row r="1141" spans="1:7" x14ac:dyDescent="0.3">
      <c r="A1141" s="33">
        <v>46003.581724537034</v>
      </c>
      <c r="B1141" s="34">
        <v>11400</v>
      </c>
      <c r="C1141" s="34">
        <v>0.73</v>
      </c>
      <c r="D1141" s="34">
        <v>257.99209999999999</v>
      </c>
      <c r="E1141" s="34">
        <v>188.11926</v>
      </c>
      <c r="F1141" s="34">
        <v>0</v>
      </c>
      <c r="G1141" s="5">
        <f t="shared" si="17"/>
        <v>0.7175475</v>
      </c>
    </row>
    <row r="1142" spans="1:7" x14ac:dyDescent="0.3">
      <c r="A1142" s="33">
        <v>46003.58184027778</v>
      </c>
      <c r="B1142" s="34">
        <v>11410</v>
      </c>
      <c r="C1142" s="34">
        <v>0.72750000000000004</v>
      </c>
      <c r="D1142" s="34">
        <v>257.36709999999999</v>
      </c>
      <c r="E1142" s="34">
        <v>187.49428</v>
      </c>
      <c r="F1142" s="34">
        <v>0</v>
      </c>
      <c r="G1142" s="5">
        <f t="shared" si="17"/>
        <v>0.71577666666666673</v>
      </c>
    </row>
    <row r="1143" spans="1:7" x14ac:dyDescent="0.3">
      <c r="A1143" s="33">
        <v>46003.581956018519</v>
      </c>
      <c r="B1143" s="34">
        <v>11420</v>
      </c>
      <c r="C1143" s="34">
        <v>0.72499999999999998</v>
      </c>
      <c r="D1143" s="34">
        <v>256.7672</v>
      </c>
      <c r="E1143" s="34">
        <v>186.24431999999999</v>
      </c>
      <c r="F1143" s="34">
        <v>0</v>
      </c>
      <c r="G1143" s="5">
        <f t="shared" si="17"/>
        <v>0.71407541666666663</v>
      </c>
    </row>
    <row r="1144" spans="1:7" x14ac:dyDescent="0.3">
      <c r="A1144" s="33">
        <v>46003.582071759258</v>
      </c>
      <c r="B1144" s="34">
        <v>11430</v>
      </c>
      <c r="C1144" s="34">
        <v>0.72370000000000001</v>
      </c>
      <c r="D1144" s="34">
        <v>256.19220000000001</v>
      </c>
      <c r="E1144" s="34">
        <v>185.61933999999999</v>
      </c>
      <c r="F1144" s="34">
        <v>0</v>
      </c>
      <c r="G1144" s="5">
        <f t="shared" si="17"/>
        <v>0.7124436111111111</v>
      </c>
    </row>
    <row r="1145" spans="1:7" x14ac:dyDescent="0.3">
      <c r="A1145" s="33">
        <v>46003.582187499997</v>
      </c>
      <c r="B1145" s="34">
        <v>11440</v>
      </c>
      <c r="C1145" s="34">
        <v>0.72119999999999995</v>
      </c>
      <c r="D1145" s="34">
        <v>255.6172</v>
      </c>
      <c r="E1145" s="34">
        <v>184.36937</v>
      </c>
      <c r="F1145" s="34">
        <v>0</v>
      </c>
      <c r="G1145" s="5">
        <f t="shared" si="17"/>
        <v>0.71084638888888885</v>
      </c>
    </row>
    <row r="1146" spans="1:7" x14ac:dyDescent="0.3">
      <c r="A1146" s="33">
        <v>46003.582303240742</v>
      </c>
      <c r="B1146" s="34">
        <v>11450</v>
      </c>
      <c r="C1146" s="34">
        <v>0.72</v>
      </c>
      <c r="D1146" s="34">
        <v>255.09219999999999</v>
      </c>
      <c r="E1146" s="34">
        <v>183.11941999999999</v>
      </c>
      <c r="F1146" s="34">
        <v>0</v>
      </c>
      <c r="G1146" s="5">
        <f t="shared" si="17"/>
        <v>0.70931861111111105</v>
      </c>
    </row>
    <row r="1147" spans="1:7" x14ac:dyDescent="0.3">
      <c r="A1147" s="33">
        <v>46003.582418981481</v>
      </c>
      <c r="B1147" s="34">
        <v>11460</v>
      </c>
      <c r="C1147" s="34">
        <v>0.71750000000000003</v>
      </c>
      <c r="D1147" s="34">
        <v>254.54220000000001</v>
      </c>
      <c r="E1147" s="34">
        <v>182.49442999999999</v>
      </c>
      <c r="F1147" s="34">
        <v>0</v>
      </c>
      <c r="G1147" s="5">
        <f t="shared" si="17"/>
        <v>0.7078255555555556</v>
      </c>
    </row>
    <row r="1148" spans="1:7" x14ac:dyDescent="0.3">
      <c r="A1148" s="33">
        <v>46003.58253472222</v>
      </c>
      <c r="B1148" s="34">
        <v>11470</v>
      </c>
      <c r="C1148" s="34">
        <v>0.71630000000000005</v>
      </c>
      <c r="D1148" s="34">
        <v>254.01730000000001</v>
      </c>
      <c r="E1148" s="34">
        <v>181.86945</v>
      </c>
      <c r="F1148" s="34">
        <v>0</v>
      </c>
      <c r="G1148" s="5">
        <f t="shared" si="17"/>
        <v>0.70633263888888898</v>
      </c>
    </row>
    <row r="1149" spans="1:7" x14ac:dyDescent="0.3">
      <c r="A1149" s="33">
        <v>46003.582650462966</v>
      </c>
      <c r="B1149" s="34">
        <v>11480</v>
      </c>
      <c r="C1149" s="34">
        <v>0.71750000000000003</v>
      </c>
      <c r="D1149" s="34">
        <v>253.4923</v>
      </c>
      <c r="E1149" s="34">
        <v>182.49442999999999</v>
      </c>
      <c r="F1149" s="34">
        <v>0</v>
      </c>
      <c r="G1149" s="5">
        <f t="shared" si="17"/>
        <v>0.70487444444444447</v>
      </c>
    </row>
    <row r="1150" spans="1:7" x14ac:dyDescent="0.3">
      <c r="A1150" s="33">
        <v>46003.582766203705</v>
      </c>
      <c r="B1150" s="34">
        <v>11490</v>
      </c>
      <c r="C1150" s="34">
        <v>0.71499999999999997</v>
      </c>
      <c r="D1150" s="34">
        <v>252.96729999999999</v>
      </c>
      <c r="E1150" s="34">
        <v>181.24448000000001</v>
      </c>
      <c r="F1150" s="34">
        <v>0</v>
      </c>
      <c r="G1150" s="5">
        <f t="shared" si="17"/>
        <v>0.70341611111111113</v>
      </c>
    </row>
    <row r="1151" spans="1:7" x14ac:dyDescent="0.3">
      <c r="A1151" s="33">
        <v>46003.582881944443</v>
      </c>
      <c r="B1151" s="34">
        <v>11500</v>
      </c>
      <c r="C1151" s="34">
        <v>0.71379999999999999</v>
      </c>
      <c r="D1151" s="34">
        <v>252.44229999999999</v>
      </c>
      <c r="E1151" s="34">
        <v>179.99450999999999</v>
      </c>
      <c r="F1151" s="34">
        <v>0</v>
      </c>
      <c r="G1151" s="5">
        <f t="shared" si="17"/>
        <v>0.70195777777777779</v>
      </c>
    </row>
    <row r="1152" spans="1:7" x14ac:dyDescent="0.3">
      <c r="A1152" s="33">
        <v>46003.582997685182</v>
      </c>
      <c r="B1152" s="34">
        <v>11510</v>
      </c>
      <c r="C1152" s="34">
        <v>0.71250000000000002</v>
      </c>
      <c r="D1152" s="34">
        <v>251.94229999999999</v>
      </c>
      <c r="E1152" s="34">
        <v>179.36951999999999</v>
      </c>
      <c r="F1152" s="34">
        <v>0</v>
      </c>
      <c r="G1152" s="5">
        <f t="shared" si="17"/>
        <v>0.70053416666666668</v>
      </c>
    </row>
    <row r="1153" spans="1:7" x14ac:dyDescent="0.3">
      <c r="A1153" s="33">
        <v>46003.583113425928</v>
      </c>
      <c r="B1153" s="34">
        <v>11520</v>
      </c>
      <c r="C1153" s="34">
        <v>0.71</v>
      </c>
      <c r="D1153" s="34">
        <v>251.44229999999999</v>
      </c>
      <c r="E1153" s="34">
        <v>178.11957000000001</v>
      </c>
      <c r="F1153" s="34">
        <v>0</v>
      </c>
      <c r="G1153" s="5">
        <f t="shared" si="17"/>
        <v>0.6991452777777778</v>
      </c>
    </row>
    <row r="1154" spans="1:7" x14ac:dyDescent="0.3">
      <c r="A1154" s="33">
        <v>46003.583229166667</v>
      </c>
      <c r="B1154" s="34">
        <v>11530</v>
      </c>
      <c r="C1154" s="34">
        <v>0.71</v>
      </c>
      <c r="D1154" s="34">
        <v>250.91730000000001</v>
      </c>
      <c r="E1154" s="34">
        <v>178.11957000000001</v>
      </c>
      <c r="F1154" s="34">
        <v>0</v>
      </c>
      <c r="G1154" s="5">
        <f t="shared" si="17"/>
        <v>0.69772166666666668</v>
      </c>
    </row>
    <row r="1155" spans="1:7" x14ac:dyDescent="0.3">
      <c r="A1155" s="33">
        <v>46003.583344907405</v>
      </c>
      <c r="B1155" s="34">
        <v>11540</v>
      </c>
      <c r="C1155" s="34">
        <v>0.70750000000000002</v>
      </c>
      <c r="D1155" s="34">
        <v>250.41739999999999</v>
      </c>
      <c r="E1155" s="34">
        <v>176.86959999999999</v>
      </c>
      <c r="F1155" s="34">
        <v>0</v>
      </c>
      <c r="G1155" s="5">
        <f t="shared" si="17"/>
        <v>0.69629819444444452</v>
      </c>
    </row>
    <row r="1156" spans="1:7" x14ac:dyDescent="0.3">
      <c r="A1156" s="33">
        <v>46003.583460648151</v>
      </c>
      <c r="B1156" s="34">
        <v>11550</v>
      </c>
      <c r="C1156" s="34">
        <v>0.70630000000000004</v>
      </c>
      <c r="D1156" s="34">
        <v>249.8674</v>
      </c>
      <c r="E1156" s="34">
        <v>176.24463</v>
      </c>
      <c r="F1156" s="34">
        <v>0</v>
      </c>
      <c r="G1156" s="5">
        <f t="shared" si="17"/>
        <v>0.69484000000000001</v>
      </c>
    </row>
    <row r="1157" spans="1:7" x14ac:dyDescent="0.3">
      <c r="A1157" s="33">
        <v>46003.58357638889</v>
      </c>
      <c r="B1157" s="34">
        <v>11560</v>
      </c>
      <c r="C1157" s="34">
        <v>0.70369999999999999</v>
      </c>
      <c r="D1157" s="34">
        <v>249.3674</v>
      </c>
      <c r="E1157" s="34">
        <v>175.61964</v>
      </c>
      <c r="F1157" s="34">
        <v>0</v>
      </c>
      <c r="G1157" s="5">
        <f t="shared" si="17"/>
        <v>0.69338166666666667</v>
      </c>
    </row>
    <row r="1158" spans="1:7" x14ac:dyDescent="0.3">
      <c r="A1158" s="33">
        <v>46003.583692129629</v>
      </c>
      <c r="B1158" s="34">
        <v>11570</v>
      </c>
      <c r="C1158" s="34">
        <v>0.70120000000000005</v>
      </c>
      <c r="D1158" s="34">
        <v>248.8424</v>
      </c>
      <c r="E1158" s="34">
        <v>174.36967000000001</v>
      </c>
      <c r="F1158" s="34">
        <v>0</v>
      </c>
      <c r="G1158" s="5">
        <f t="shared" si="17"/>
        <v>0.69195805555555556</v>
      </c>
    </row>
    <row r="1159" spans="1:7" x14ac:dyDescent="0.3">
      <c r="A1159" s="33">
        <v>46003.583807870367</v>
      </c>
      <c r="B1159" s="34">
        <v>11580</v>
      </c>
      <c r="C1159" s="34">
        <v>0.7</v>
      </c>
      <c r="D1159" s="34">
        <v>248.3424</v>
      </c>
      <c r="E1159" s="34">
        <v>173.74468999999999</v>
      </c>
      <c r="F1159" s="34">
        <v>0</v>
      </c>
      <c r="G1159" s="5">
        <f t="shared" ref="G1159:G1199" si="18">($B$2/3600)*((D1158+D1159)/2)</f>
        <v>0.69053444444444445</v>
      </c>
    </row>
    <row r="1160" spans="1:7" x14ac:dyDescent="0.3">
      <c r="A1160" s="33">
        <v>46003.583923611113</v>
      </c>
      <c r="B1160" s="34">
        <v>11590</v>
      </c>
      <c r="C1160" s="34">
        <v>1.0086999999999999</v>
      </c>
      <c r="D1160" s="34">
        <v>0</v>
      </c>
      <c r="E1160" s="34">
        <v>0</v>
      </c>
      <c r="F1160" s="34">
        <v>1</v>
      </c>
      <c r="G1160" s="5">
        <f t="shared" si="18"/>
        <v>0.34492</v>
      </c>
    </row>
    <row r="1161" spans="1:7" x14ac:dyDescent="0.3">
      <c r="A1161" s="33">
        <v>46003.584039351852</v>
      </c>
      <c r="B1161" s="34">
        <v>11600</v>
      </c>
      <c r="C1161" s="34">
        <v>1.0362</v>
      </c>
      <c r="D1161" s="34">
        <v>0</v>
      </c>
      <c r="E1161" s="34">
        <v>0</v>
      </c>
      <c r="F1161" s="34">
        <v>1</v>
      </c>
      <c r="G1161" s="5">
        <f t="shared" si="18"/>
        <v>0</v>
      </c>
    </row>
    <row r="1162" spans="1:7" x14ac:dyDescent="0.3">
      <c r="A1162" s="33">
        <v>46003.584155092591</v>
      </c>
      <c r="B1162" s="34">
        <v>11610</v>
      </c>
      <c r="C1162" s="34">
        <v>1.0511999999999999</v>
      </c>
      <c r="D1162" s="34">
        <v>0</v>
      </c>
      <c r="E1162" s="34">
        <v>0</v>
      </c>
      <c r="F1162" s="34">
        <v>1</v>
      </c>
      <c r="G1162" s="5">
        <f t="shared" si="18"/>
        <v>0</v>
      </c>
    </row>
    <row r="1163" spans="1:7" x14ac:dyDescent="0.3">
      <c r="A1163" s="33">
        <v>46003.584270833337</v>
      </c>
      <c r="B1163" s="34">
        <v>11620</v>
      </c>
      <c r="C1163" s="34">
        <v>1.06</v>
      </c>
      <c r="D1163" s="34">
        <v>0</v>
      </c>
      <c r="E1163" s="34">
        <v>0</v>
      </c>
      <c r="F1163" s="34">
        <v>1</v>
      </c>
      <c r="G1163" s="5">
        <f t="shared" si="18"/>
        <v>0</v>
      </c>
    </row>
    <row r="1164" spans="1:7" x14ac:dyDescent="0.3">
      <c r="A1164" s="33">
        <v>46003.584386574075</v>
      </c>
      <c r="B1164" s="34">
        <v>11630</v>
      </c>
      <c r="C1164" s="34">
        <v>1.07</v>
      </c>
      <c r="D1164" s="34">
        <v>0</v>
      </c>
      <c r="E1164" s="34">
        <v>0</v>
      </c>
      <c r="F1164" s="34">
        <v>1</v>
      </c>
      <c r="G1164" s="5">
        <f t="shared" si="18"/>
        <v>0</v>
      </c>
    </row>
    <row r="1165" spans="1:7" x14ac:dyDescent="0.3">
      <c r="A1165" s="33">
        <v>46003.584502314814</v>
      </c>
      <c r="B1165" s="34">
        <v>11640</v>
      </c>
      <c r="C1165" s="34">
        <v>1.0762</v>
      </c>
      <c r="D1165" s="34">
        <v>0</v>
      </c>
      <c r="E1165" s="34">
        <v>0</v>
      </c>
      <c r="F1165" s="34">
        <v>1</v>
      </c>
      <c r="G1165" s="5">
        <f t="shared" si="18"/>
        <v>0</v>
      </c>
    </row>
    <row r="1166" spans="1:7" x14ac:dyDescent="0.3">
      <c r="A1166" s="33">
        <v>46003.584618055553</v>
      </c>
      <c r="B1166" s="34">
        <v>11650</v>
      </c>
      <c r="C1166" s="34">
        <v>1.08</v>
      </c>
      <c r="D1166" s="34">
        <v>0</v>
      </c>
      <c r="E1166" s="34">
        <v>0</v>
      </c>
      <c r="F1166" s="34">
        <v>1</v>
      </c>
      <c r="G1166" s="5">
        <f t="shared" si="18"/>
        <v>0</v>
      </c>
    </row>
    <row r="1167" spans="1:7" x14ac:dyDescent="0.3">
      <c r="A1167" s="33">
        <v>46003.584733796299</v>
      </c>
      <c r="B1167" s="34">
        <v>11660</v>
      </c>
      <c r="C1167" s="34">
        <v>1.0862000000000001</v>
      </c>
      <c r="D1167" s="34">
        <v>0</v>
      </c>
      <c r="E1167" s="34">
        <v>0</v>
      </c>
      <c r="F1167" s="34">
        <v>1</v>
      </c>
      <c r="G1167" s="5">
        <f t="shared" si="18"/>
        <v>0</v>
      </c>
    </row>
    <row r="1168" spans="1:7" x14ac:dyDescent="0.3">
      <c r="A1168" s="33">
        <v>46003.584849537037</v>
      </c>
      <c r="B1168" s="34">
        <v>11670</v>
      </c>
      <c r="C1168" s="34">
        <v>1.0900000000000001</v>
      </c>
      <c r="D1168" s="34">
        <v>0</v>
      </c>
      <c r="E1168" s="34">
        <v>0</v>
      </c>
      <c r="F1168" s="34">
        <v>1</v>
      </c>
      <c r="G1168" s="5">
        <f t="shared" si="18"/>
        <v>0</v>
      </c>
    </row>
    <row r="1169" spans="1:7" x14ac:dyDescent="0.3">
      <c r="A1169" s="33">
        <v>46003.584965277776</v>
      </c>
      <c r="B1169" s="34">
        <v>11680</v>
      </c>
      <c r="C1169" s="34">
        <v>0.76619999999999999</v>
      </c>
      <c r="D1169" s="34">
        <v>270.06670000000003</v>
      </c>
      <c r="E1169" s="34">
        <v>206.86868000000001</v>
      </c>
      <c r="F1169" s="34">
        <v>0</v>
      </c>
      <c r="G1169" s="5">
        <f t="shared" si="18"/>
        <v>0.37509263888888894</v>
      </c>
    </row>
    <row r="1170" spans="1:7" x14ac:dyDescent="0.3">
      <c r="A1170" s="33">
        <v>46003.585081018522</v>
      </c>
      <c r="B1170" s="34">
        <v>11690</v>
      </c>
      <c r="C1170" s="34">
        <v>0.74370000000000003</v>
      </c>
      <c r="D1170" s="34">
        <v>262.56700000000001</v>
      </c>
      <c r="E1170" s="34">
        <v>195.61903000000001</v>
      </c>
      <c r="F1170" s="34">
        <v>0</v>
      </c>
      <c r="G1170" s="5">
        <f t="shared" si="18"/>
        <v>0.73976902777777798</v>
      </c>
    </row>
    <row r="1171" spans="1:7" x14ac:dyDescent="0.3">
      <c r="A1171" s="33">
        <v>46003.585196759261</v>
      </c>
      <c r="B1171" s="34">
        <v>11700</v>
      </c>
      <c r="C1171" s="34">
        <v>0.73250000000000004</v>
      </c>
      <c r="D1171" s="34">
        <v>259.06709999999998</v>
      </c>
      <c r="E1171" s="34">
        <v>189.36922000000001</v>
      </c>
      <c r="F1171" s="34">
        <v>0</v>
      </c>
      <c r="G1171" s="5">
        <f t="shared" si="18"/>
        <v>0.72449180555555559</v>
      </c>
    </row>
    <row r="1172" spans="1:7" x14ac:dyDescent="0.3">
      <c r="A1172" s="33">
        <v>46003.585312499999</v>
      </c>
      <c r="B1172" s="34">
        <v>11710</v>
      </c>
      <c r="C1172" s="34">
        <v>0.72499999999999998</v>
      </c>
      <c r="D1172" s="34">
        <v>256.7921</v>
      </c>
      <c r="E1172" s="34">
        <v>186.24431999999999</v>
      </c>
      <c r="F1172" s="34">
        <v>0</v>
      </c>
      <c r="G1172" s="5">
        <f t="shared" si="18"/>
        <v>0.71647111111111117</v>
      </c>
    </row>
    <row r="1173" spans="1:7" x14ac:dyDescent="0.3">
      <c r="A1173" s="33">
        <v>46003.585428240738</v>
      </c>
      <c r="B1173" s="34">
        <v>11720</v>
      </c>
      <c r="C1173" s="34">
        <v>0.72250000000000003</v>
      </c>
      <c r="D1173" s="34">
        <v>255.06720000000001</v>
      </c>
      <c r="E1173" s="34">
        <v>184.36937</v>
      </c>
      <c r="F1173" s="34">
        <v>0</v>
      </c>
      <c r="G1173" s="5">
        <f t="shared" si="18"/>
        <v>0.71091569444444447</v>
      </c>
    </row>
    <row r="1174" spans="1:7" x14ac:dyDescent="0.3">
      <c r="A1174" s="33">
        <v>46003.585543981484</v>
      </c>
      <c r="B1174" s="34">
        <v>11730</v>
      </c>
      <c r="C1174" s="34">
        <v>0.71750000000000003</v>
      </c>
      <c r="D1174" s="34">
        <v>253.69229999999999</v>
      </c>
      <c r="E1174" s="34">
        <v>182.49442999999999</v>
      </c>
      <c r="F1174" s="34">
        <v>0</v>
      </c>
      <c r="G1174" s="5">
        <f t="shared" si="18"/>
        <v>0.70661041666666669</v>
      </c>
    </row>
    <row r="1175" spans="1:7" x14ac:dyDescent="0.3">
      <c r="A1175" s="33">
        <v>46003.585659722223</v>
      </c>
      <c r="B1175" s="34">
        <v>11740</v>
      </c>
      <c r="C1175" s="34">
        <v>0.71379999999999999</v>
      </c>
      <c r="D1175" s="34">
        <v>252.51730000000001</v>
      </c>
      <c r="E1175" s="34">
        <v>179.99450999999999</v>
      </c>
      <c r="F1175" s="34">
        <v>0</v>
      </c>
      <c r="G1175" s="5">
        <f t="shared" si="18"/>
        <v>0.70306888888888897</v>
      </c>
    </row>
    <row r="1176" spans="1:7" x14ac:dyDescent="0.3">
      <c r="A1176" s="33">
        <v>46003.585775462961</v>
      </c>
      <c r="B1176" s="34">
        <v>11750</v>
      </c>
      <c r="C1176" s="34">
        <v>0.71130000000000004</v>
      </c>
      <c r="D1176" s="34">
        <v>251.46729999999999</v>
      </c>
      <c r="E1176" s="34">
        <v>178.74454</v>
      </c>
      <c r="F1176" s="34">
        <v>0</v>
      </c>
      <c r="G1176" s="5">
        <f t="shared" si="18"/>
        <v>0.69997861111111115</v>
      </c>
    </row>
    <row r="1177" spans="1:7" x14ac:dyDescent="0.3">
      <c r="A1177" s="33">
        <v>46003.5858912037</v>
      </c>
      <c r="B1177" s="34">
        <v>11760</v>
      </c>
      <c r="C1177" s="34">
        <v>0.70750000000000002</v>
      </c>
      <c r="D1177" s="34">
        <v>250.54239999999999</v>
      </c>
      <c r="E1177" s="34">
        <v>176.86959999999999</v>
      </c>
      <c r="F1177" s="34">
        <v>0</v>
      </c>
      <c r="G1177" s="5">
        <f t="shared" si="18"/>
        <v>0.69723569444444444</v>
      </c>
    </row>
    <row r="1178" spans="1:7" x14ac:dyDescent="0.3">
      <c r="A1178" s="33">
        <v>46003.586006944446</v>
      </c>
      <c r="B1178" s="34">
        <v>11770</v>
      </c>
      <c r="C1178" s="34">
        <v>0.70499999999999996</v>
      </c>
      <c r="D1178" s="34">
        <v>249.66739999999999</v>
      </c>
      <c r="E1178" s="34">
        <v>176.24463</v>
      </c>
      <c r="F1178" s="34">
        <v>0</v>
      </c>
      <c r="G1178" s="5">
        <f t="shared" si="18"/>
        <v>0.69473583333333333</v>
      </c>
    </row>
    <row r="1179" spans="1:7" x14ac:dyDescent="0.3">
      <c r="A1179" s="33">
        <v>46003.586122685185</v>
      </c>
      <c r="B1179" s="34">
        <v>11780</v>
      </c>
      <c r="C1179" s="34">
        <v>0.70120000000000005</v>
      </c>
      <c r="D1179" s="34">
        <v>248.8674</v>
      </c>
      <c r="E1179" s="34">
        <v>174.36967000000001</v>
      </c>
      <c r="F1179" s="34">
        <v>0</v>
      </c>
      <c r="G1179" s="5">
        <f t="shared" si="18"/>
        <v>0.69240944444444452</v>
      </c>
    </row>
    <row r="1180" spans="1:7" x14ac:dyDescent="0.3">
      <c r="A1180" s="33">
        <v>46003.586238425924</v>
      </c>
      <c r="B1180" s="34">
        <v>11790</v>
      </c>
      <c r="C1180" s="34">
        <v>0.70120000000000005</v>
      </c>
      <c r="D1180" s="34">
        <v>248.0924</v>
      </c>
      <c r="E1180" s="34">
        <v>174.36967000000001</v>
      </c>
      <c r="F1180" s="34">
        <v>0</v>
      </c>
      <c r="G1180" s="5">
        <f t="shared" si="18"/>
        <v>0.6902219444444444</v>
      </c>
    </row>
    <row r="1181" spans="1:7" x14ac:dyDescent="0.3">
      <c r="A1181" s="33">
        <v>46003.586354166669</v>
      </c>
      <c r="B1181" s="34">
        <v>11800</v>
      </c>
      <c r="C1181" s="34">
        <v>0.69869999999999999</v>
      </c>
      <c r="D1181" s="34">
        <v>247.36750000000001</v>
      </c>
      <c r="E1181" s="34">
        <v>173.11972</v>
      </c>
      <c r="F1181" s="34">
        <v>0</v>
      </c>
      <c r="G1181" s="5">
        <f t="shared" si="18"/>
        <v>0.68813875000000002</v>
      </c>
    </row>
    <row r="1182" spans="1:7" x14ac:dyDescent="0.3">
      <c r="A1182" s="33">
        <v>46003.586469907408</v>
      </c>
      <c r="B1182" s="34">
        <v>11810</v>
      </c>
      <c r="C1182" s="34">
        <v>0.69620000000000004</v>
      </c>
      <c r="D1182" s="34">
        <v>246.6925</v>
      </c>
      <c r="E1182" s="34">
        <v>171.86975000000001</v>
      </c>
      <c r="F1182" s="34">
        <v>0</v>
      </c>
      <c r="G1182" s="5">
        <f t="shared" si="18"/>
        <v>0.68619444444444444</v>
      </c>
    </row>
    <row r="1183" spans="1:7" x14ac:dyDescent="0.3">
      <c r="A1183" s="33">
        <v>46003.586585648147</v>
      </c>
      <c r="B1183" s="34">
        <v>11820</v>
      </c>
      <c r="C1183" s="34">
        <v>0.69369999999999998</v>
      </c>
      <c r="D1183" s="34">
        <v>245.99250000000001</v>
      </c>
      <c r="E1183" s="34">
        <v>171.24477999999999</v>
      </c>
      <c r="F1183" s="34">
        <v>0</v>
      </c>
      <c r="G1183" s="5">
        <f t="shared" si="18"/>
        <v>0.68428472222222225</v>
      </c>
    </row>
    <row r="1184" spans="1:7" x14ac:dyDescent="0.3">
      <c r="A1184" s="33">
        <v>46003.586701388886</v>
      </c>
      <c r="B1184" s="34">
        <v>11830</v>
      </c>
      <c r="C1184" s="34">
        <v>0.69120000000000004</v>
      </c>
      <c r="D1184" s="34">
        <v>245.3175</v>
      </c>
      <c r="E1184" s="34">
        <v>169.99481</v>
      </c>
      <c r="F1184" s="34">
        <v>0</v>
      </c>
      <c r="G1184" s="5">
        <f t="shared" si="18"/>
        <v>0.68237500000000006</v>
      </c>
    </row>
    <row r="1185" spans="1:7" x14ac:dyDescent="0.3">
      <c r="A1185" s="33">
        <v>46003.586817129632</v>
      </c>
      <c r="B1185" s="34">
        <v>11840</v>
      </c>
      <c r="C1185" s="34">
        <v>0.68869999999999998</v>
      </c>
      <c r="D1185" s="34">
        <v>244.6925</v>
      </c>
      <c r="E1185" s="34">
        <v>168.74484000000001</v>
      </c>
      <c r="F1185" s="34">
        <v>0</v>
      </c>
      <c r="G1185" s="5">
        <f t="shared" si="18"/>
        <v>0.68056944444444445</v>
      </c>
    </row>
    <row r="1186" spans="1:7" x14ac:dyDescent="0.3">
      <c r="A1186" s="33">
        <v>46003.58693287037</v>
      </c>
      <c r="B1186" s="34">
        <v>11850</v>
      </c>
      <c r="C1186" s="34">
        <v>0.6875</v>
      </c>
      <c r="D1186" s="34">
        <v>244.01759999999999</v>
      </c>
      <c r="E1186" s="34">
        <v>168.11986999999999</v>
      </c>
      <c r="F1186" s="34">
        <v>0</v>
      </c>
      <c r="G1186" s="5">
        <f t="shared" si="18"/>
        <v>0.67876402777777778</v>
      </c>
    </row>
    <row r="1187" spans="1:7" x14ac:dyDescent="0.3">
      <c r="A1187" s="33">
        <v>46003.587048611109</v>
      </c>
      <c r="B1187" s="34">
        <v>11860</v>
      </c>
      <c r="C1187" s="34">
        <v>0.68500000000000005</v>
      </c>
      <c r="D1187" s="34">
        <v>243.36760000000001</v>
      </c>
      <c r="E1187" s="34">
        <v>166.24493000000001</v>
      </c>
      <c r="F1187" s="34">
        <v>0</v>
      </c>
      <c r="G1187" s="5">
        <f t="shared" si="18"/>
        <v>0.67692388888888888</v>
      </c>
    </row>
    <row r="1188" spans="1:7" x14ac:dyDescent="0.3">
      <c r="A1188" s="33">
        <v>46003.587164351855</v>
      </c>
      <c r="B1188" s="34">
        <v>11870</v>
      </c>
      <c r="C1188" s="34">
        <v>0.68369999999999997</v>
      </c>
      <c r="D1188" s="34">
        <v>242.6926</v>
      </c>
      <c r="E1188" s="34">
        <v>165.61994999999999</v>
      </c>
      <c r="F1188" s="34">
        <v>0</v>
      </c>
      <c r="G1188" s="5">
        <f t="shared" si="18"/>
        <v>0.67508361111111115</v>
      </c>
    </row>
    <row r="1189" spans="1:7" x14ac:dyDescent="0.3">
      <c r="A1189" s="33">
        <v>46003.587280092594</v>
      </c>
      <c r="B1189" s="34">
        <v>11880</v>
      </c>
      <c r="C1189" s="34">
        <v>0.68</v>
      </c>
      <c r="D1189" s="34">
        <v>242.04259999999999</v>
      </c>
      <c r="E1189" s="34">
        <v>164.99495999999999</v>
      </c>
      <c r="F1189" s="34">
        <v>0</v>
      </c>
      <c r="G1189" s="5">
        <f t="shared" si="18"/>
        <v>0.6732433333333333</v>
      </c>
    </row>
    <row r="1190" spans="1:7" x14ac:dyDescent="0.3">
      <c r="A1190" s="33">
        <v>46003.587395833332</v>
      </c>
      <c r="B1190" s="34">
        <v>11890</v>
      </c>
      <c r="C1190" s="34">
        <v>0.67869999999999997</v>
      </c>
      <c r="D1190" s="34">
        <v>241.36760000000001</v>
      </c>
      <c r="E1190" s="34">
        <v>163.745</v>
      </c>
      <c r="F1190" s="34">
        <v>0</v>
      </c>
      <c r="G1190" s="5">
        <f t="shared" si="18"/>
        <v>0.67140305555555557</v>
      </c>
    </row>
    <row r="1191" spans="1:7" x14ac:dyDescent="0.3">
      <c r="A1191" s="33">
        <v>46003.587511574071</v>
      </c>
      <c r="B1191" s="34">
        <v>11900</v>
      </c>
      <c r="C1191" s="34">
        <v>0.67869999999999997</v>
      </c>
      <c r="D1191" s="34">
        <v>240.6927</v>
      </c>
      <c r="E1191" s="34">
        <v>163.745</v>
      </c>
      <c r="F1191" s="34">
        <v>0</v>
      </c>
      <c r="G1191" s="5">
        <f t="shared" si="18"/>
        <v>0.66952819444444445</v>
      </c>
    </row>
    <row r="1192" spans="1:7" x14ac:dyDescent="0.3">
      <c r="A1192" s="33">
        <v>46003.587627314817</v>
      </c>
      <c r="B1192" s="34">
        <v>11910</v>
      </c>
      <c r="C1192" s="34">
        <v>0.67620000000000002</v>
      </c>
      <c r="D1192" s="34">
        <v>240.01769999999999</v>
      </c>
      <c r="E1192" s="34">
        <v>161.87006</v>
      </c>
      <c r="F1192" s="34">
        <v>0</v>
      </c>
      <c r="G1192" s="5">
        <f t="shared" si="18"/>
        <v>0.66765333333333332</v>
      </c>
    </row>
    <row r="1193" spans="1:7" x14ac:dyDescent="0.3">
      <c r="A1193" s="33">
        <v>46003.587743055556</v>
      </c>
      <c r="B1193" s="34">
        <v>11920</v>
      </c>
      <c r="C1193" s="34">
        <v>0.67369999999999997</v>
      </c>
      <c r="D1193" s="34">
        <v>239.34270000000001</v>
      </c>
      <c r="E1193" s="34">
        <v>161.24509</v>
      </c>
      <c r="F1193" s="34">
        <v>0</v>
      </c>
      <c r="G1193" s="5">
        <f t="shared" si="18"/>
        <v>0.66577833333333336</v>
      </c>
    </row>
    <row r="1194" spans="1:7" x14ac:dyDescent="0.3">
      <c r="A1194" s="33">
        <v>46003.587858796294</v>
      </c>
      <c r="B1194" s="34">
        <v>11930</v>
      </c>
      <c r="C1194" s="34">
        <v>0.67120000000000002</v>
      </c>
      <c r="D1194" s="34">
        <v>238.59270000000001</v>
      </c>
      <c r="E1194" s="34">
        <v>159.99511999999999</v>
      </c>
      <c r="F1194" s="34">
        <v>0</v>
      </c>
      <c r="G1194" s="5">
        <f t="shared" si="18"/>
        <v>0.66379916666666672</v>
      </c>
    </row>
    <row r="1195" spans="1:7" x14ac:dyDescent="0.3">
      <c r="A1195" s="33">
        <v>46003.58797453704</v>
      </c>
      <c r="B1195" s="34">
        <v>11940</v>
      </c>
      <c r="C1195" s="34">
        <v>0.66869999999999996</v>
      </c>
      <c r="D1195" s="34">
        <v>237.89269999999999</v>
      </c>
      <c r="E1195" s="34">
        <v>159.37012999999999</v>
      </c>
      <c r="F1195" s="34">
        <v>0</v>
      </c>
      <c r="G1195" s="5">
        <f t="shared" si="18"/>
        <v>0.66178527777777785</v>
      </c>
    </row>
    <row r="1196" spans="1:7" x14ac:dyDescent="0.3">
      <c r="A1196" s="33">
        <v>46003.588090277779</v>
      </c>
      <c r="B1196" s="34">
        <v>11950</v>
      </c>
      <c r="C1196" s="34">
        <v>0.66620000000000001</v>
      </c>
      <c r="D1196" s="34">
        <v>237.1678</v>
      </c>
      <c r="E1196" s="34">
        <v>158.12018</v>
      </c>
      <c r="F1196" s="34">
        <v>0</v>
      </c>
      <c r="G1196" s="5">
        <f t="shared" si="18"/>
        <v>0.65980625000000004</v>
      </c>
    </row>
    <row r="1197" spans="1:7" x14ac:dyDescent="0.3">
      <c r="A1197" s="33">
        <v>46003.588206018518</v>
      </c>
      <c r="B1197" s="34">
        <v>11960</v>
      </c>
      <c r="C1197" s="34">
        <v>0.66369999999999996</v>
      </c>
      <c r="D1197" s="34">
        <v>236.39279999999999</v>
      </c>
      <c r="E1197" s="34">
        <v>156.87020999999999</v>
      </c>
      <c r="F1197" s="34">
        <v>0</v>
      </c>
      <c r="G1197" s="5">
        <f t="shared" si="18"/>
        <v>0.65772305555555566</v>
      </c>
    </row>
    <row r="1198" spans="1:7" x14ac:dyDescent="0.3">
      <c r="A1198" s="33">
        <v>46003.588321759256</v>
      </c>
      <c r="B1198" s="34">
        <v>11970</v>
      </c>
      <c r="C1198" s="34">
        <v>0.66120000000000001</v>
      </c>
      <c r="D1198" s="34">
        <v>235.61779999999999</v>
      </c>
      <c r="E1198" s="34">
        <v>155.62025</v>
      </c>
      <c r="F1198" s="34">
        <v>0</v>
      </c>
      <c r="G1198" s="5">
        <f t="shared" si="18"/>
        <v>0.65557027777777777</v>
      </c>
    </row>
    <row r="1199" spans="1:7" x14ac:dyDescent="0.3">
      <c r="A1199" s="33">
        <v>46003.588437500002</v>
      </c>
      <c r="B1199" s="34">
        <v>11980</v>
      </c>
      <c r="C1199" s="34">
        <v>0.97</v>
      </c>
      <c r="D1199" s="34">
        <v>0</v>
      </c>
      <c r="E1199" s="34">
        <v>0</v>
      </c>
      <c r="F1199" s="34">
        <v>1</v>
      </c>
      <c r="G1199" s="5">
        <f t="shared" si="18"/>
        <v>0.32724694444444447</v>
      </c>
    </row>
    <row r="1200" spans="1:7" x14ac:dyDescent="0.3">
      <c r="A1200" s="32" t="s">
        <v>5</v>
      </c>
    </row>
    <row r="1201" spans="2:7" x14ac:dyDescent="0.3">
      <c r="B1201" s="46">
        <f>B1198/3600</f>
        <v>3.3250000000000002</v>
      </c>
      <c r="D1201" s="46">
        <f>AVERAGEIF(D2:D1199,"&gt;0")</f>
        <v>325.48473167567562</v>
      </c>
      <c r="F1201" s="71">
        <f>(SUM(F2:F1200)-1)*10</f>
        <v>2700</v>
      </c>
      <c r="G1201" s="47">
        <f>D1201*B1201</f>
        <v>1082.2367328216214</v>
      </c>
    </row>
    <row r="1202" spans="2:7" x14ac:dyDescent="0.3">
      <c r="B1202" s="60">
        <f>(B1199-40-F1201)/3600</f>
        <v>2.5666666666666669</v>
      </c>
      <c r="D1202" s="46">
        <f>AVERAGEIF(D2:D1199,"&gt;0")</f>
        <v>325.48473167567562</v>
      </c>
      <c r="G1202" s="47">
        <f>D1202*B1202</f>
        <v>835.41081130090083</v>
      </c>
    </row>
    <row r="1203" spans="2:7" x14ac:dyDescent="0.3">
      <c r="G1203" s="62">
        <f>SUM(G2:G1199)</f>
        <v>836.31493555555528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56C7E-6F2B-4284-9918-FD9AB11520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25</vt:lpstr>
      <vt:lpstr>25C</vt:lpstr>
      <vt:lpstr>Hoja3</vt:lpstr>
      <vt:lpstr>THS-AAA-LR03</vt:lpstr>
      <vt:lpstr>EnergizerMaxAAA</vt:lpstr>
      <vt:lpstr>SicaAAA</vt:lpstr>
      <vt:lpstr>Graf25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Pila AAA / LR03</dc:title>
  <dc:creator>Prof. Ing. Gerhard E. RAITH</dc:creator>
  <cp:keywords>Test de descarga 3H</cp:keywords>
  <cp:lastModifiedBy>Prof. Ing. Gerhard E. RAITH</cp:lastModifiedBy>
  <dcterms:created xsi:type="dcterms:W3CDTF">2025-11-28T16:34:51Z</dcterms:created>
  <dcterms:modified xsi:type="dcterms:W3CDTF">2025-12-12T19:22:10Z</dcterms:modified>
</cp:coreProperties>
</file>